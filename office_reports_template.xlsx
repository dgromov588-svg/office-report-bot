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ca090269b54bb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ttings" sheetId="1" r:id="R2aac177a379a45c6"/>
    <x:sheet xmlns:r="http://schemas.openxmlformats.org/officeDocument/2006/relationships" name="Manager_Reports" sheetId="2" r:id="R31d351dbe8d74239"/>
    <x:sheet xmlns:r="http://schemas.openxmlformats.org/officeDocument/2006/relationships" name="TeamLead_Reports" sheetId="3" r:id="R0372d3c96a1f471e"/>
    <x:sheet xmlns:r="http://schemas.openxmlformats.org/officeDocument/2006/relationships" name="Head_Reports" sheetId="4" r:id="R193fcd36b35a4cf1"/>
    <x:sheet xmlns:r="http://schemas.openxmlformats.org/officeDocument/2006/relationships" name="Managers_Summary" sheetId="5" r:id="R240579c1dccb48e0"/>
    <x:sheet xmlns:r="http://schemas.openxmlformats.org/officeDocument/2006/relationships" name="TeamLeads_Summary" sheetId="6" r:id="Ra9e7dd3e474d469d"/>
    <x:sheet xmlns:r="http://schemas.openxmlformats.org/officeDocument/2006/relationships" name="Dashboard" sheetId="7" r:id="R3b4345401e2d49e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64" formatCode="yyyy-mm-dd"/>
  </x:numFmts>
  <x:fonts count="3">
    <x:font>
      <x:sz val="11"/>
      <x:color theme="1"/>
      <x:name val="Calibri"/>
      <x:family val="2"/>
      <x:scheme val="minor"/>
    </x:font>
    <x:font>
      <x:b/>
      <x:color rgb="00FFFFFF"/>
    </x:font>
    <x:font>
      <x:b/>
    </x:font>
  </x:fonts>
  <x:fills count="5">
    <x:fill>
      <x:patternFill patternType="none"/>
    </x:fill>
    <x:fill>
      <x:patternFill patternType="gray125"/>
    </x:fill>
    <x:fill>
      <x:patternFill patternType="solid">
        <x:fgColor rgb="001F4E78"/>
      </x:patternFill>
    </x:fill>
    <x:fill>
      <x:patternFill patternType="solid">
        <x:fgColor rgb="00D9EAF7"/>
      </x:patternFill>
    </x:fill>
    <x:fill>
      <x:patternFill patternType="solid">
        <x:fgColor rgb="00F5F9FC"/>
      </x:patternFill>
    </x:fill>
  </x:fills>
  <x:borders count="2">
    <x:border>
      <x:left/>
      <x:right/>
      <x:top/>
      <x:bottom/>
      <x:diagonal/>
    </x:border>
    <x:border>
      <x:bottom style="thin">
        <x:color rgb="00D0D7DE"/>
      </x:bottom>
    </x:border>
  </x:borders>
  <x:cellStyleXfs count="1">
    <x:xf numFmtId="0" fontId="0" fillId="0" borderId="0"/>
  </x:cellStyleXfs>
  <x:cellXfs count="10">
    <x:xf numFmtId="0" fontId="0" fillId="0" borderId="0" xfId="0"/>
    <x:xf numFmtId="0" fontId="1" fillId="2" borderId="0" xfId="0" applyAlignment="1">
      <x:alignment horizontal="center"/>
    </x:xf>
    <x:xf numFmtId="0" fontId="2" fillId="3" borderId="1" xfId="0"/>
    <x:xf numFmtId="0" fontId="1" fillId="2" borderId="1" xfId="0" applyAlignment="1">
      <x:alignment horizontal="center" vertical="center" wrapText="1"/>
    </x:xf>
    <x:xf numFmtId="0" fontId="1" fillId="2" borderId="0" xfId="0" applyAlignment="1">
      <x:alignment horizontal="center" wrapText="1"/>
    </x:xf>
    <x:xf numFmtId="1" fontId="0" fillId="0" borderId="0" xfId="0"/>
    <x:xf numFmtId="0" fontId="1" fillId="2" borderId="0" xfId="0"/>
    <x:xf numFmtId="0" fontId="2" fillId="3" borderId="0" xfId="0"/>
    <x:xf numFmtId="1" fontId="0" fillId="4" borderId="0" xfId="0"/>
    <x:xf numFmtId="164" fontId="0" fillId="0" borderId="0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9a8c8eb16914c0c" /><Relationship Type="http://schemas.openxmlformats.org/officeDocument/2006/relationships/theme" Target="/xl/theme/theme1.xml" Id="R4218de023cba47a6" /><Relationship Type="http://schemas.openxmlformats.org/officeDocument/2006/relationships/sharedStrings" Target="/xl/sharedStrings.xml" Id="Ra9efc61269274701" /><Relationship Type="http://schemas.openxmlformats.org/officeDocument/2006/relationships/worksheet" Target="/xl/worksheets/sheet1.xml" Id="R2aac177a379a45c6" /><Relationship Type="http://schemas.openxmlformats.org/officeDocument/2006/relationships/worksheet" Target="/xl/worksheets/sheet2.xml" Id="R31d351dbe8d74239" /><Relationship Type="http://schemas.openxmlformats.org/officeDocument/2006/relationships/worksheet" Target="/xl/worksheets/sheet3.xml" Id="R0372d3c96a1f471e" /><Relationship Type="http://schemas.openxmlformats.org/officeDocument/2006/relationships/worksheet" Target="/xl/worksheets/sheet4.xml" Id="R193fcd36b35a4cf1" /><Relationship Type="http://schemas.openxmlformats.org/officeDocument/2006/relationships/worksheet" Target="/xl/worksheets/sheet5.xml" Id="R240579c1dccb48e0" /><Relationship Type="http://schemas.openxmlformats.org/officeDocument/2006/relationships/worksheet" Target="/xl/worksheets/sheet6.xml" Id="Ra9e7dd3e474d469d" /><Relationship Type="http://schemas.openxmlformats.org/officeDocument/2006/relationships/worksheet" Target="/xl/worksheets/sheet7.xml" Id="R3b4345401e2d49e4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22" customWidth="1"/>
    <x:col min="2" max="2" width="16" customWidth="1"/>
    <x:col min="3" max="3" width="16" customWidth="1"/>
    <x:col min="4" max="4" width="10" customWidth="1"/>
    <x:col min="5" max="5" width="22" customWidth="1"/>
    <x:col min="6" max="6" width="16" customWidth="1"/>
    <x:col min="7" max="7" width="16" customWidth="1"/>
    <x:col min="8" max="8" width="10" customWidth="1"/>
    <x:col min="9" max="9" width="22" customWidth="1"/>
    <x:col min="10" max="10" width="16" customWidth="1"/>
  </x:cols>
  <x:sheetData>
    <x:row r="1">
      <x:c r="A1" s="1" t="inlineStr">
        <x:is>
          <x:t xml:space="preserve">Менеджеры</x:t>
        </x:is>
      </x:c>
      <x:c r="E1" s="1" t="inlineStr">
        <x:is>
          <x:t xml:space="preserve">Тимлиды</x:t>
        </x:is>
      </x:c>
      <x:c r="I1" s="1" t="inlineStr">
        <x:is>
          <x:t xml:space="preserve">Хеды</x:t>
        </x:is>
      </x:c>
    </x:row>
    <x:row r="2">
      <x:c r="A2" s="2" t="inlineStr">
        <x:is>
          <x:t xml:space="preserve">Имя менеджера</x:t>
        </x:is>
      </x:c>
      <x:c r="B2" s="2" t="inlineStr">
        <x:is>
          <x:t xml:space="preserve">Chat ID</x:t>
        </x:is>
      </x:c>
      <x:c r="C2" s="2" t="inlineStr">
        <x:is>
          <x:t xml:space="preserve">Teamlead Chat ID</x:t>
        </x:is>
      </x:c>
      <x:c r="D2" s="2" t="inlineStr">
        <x:is>
          <x:t xml:space="preserve">Active</x:t>
        </x:is>
      </x:c>
      <x:c r="E2" s="2" t="inlineStr">
        <x:is>
          <x:t xml:space="preserve">Имя тимлида</x:t>
        </x:is>
      </x:c>
      <x:c r="F2" s="2" t="inlineStr">
        <x:is>
          <x:t xml:space="preserve">Chat ID</x:t>
        </x:is>
      </x:c>
      <x:c r="G2" s="2" t="inlineStr">
        <x:is>
          <x:t xml:space="preserve">Head Chat ID</x:t>
        </x:is>
      </x:c>
      <x:c r="H2" s="2" t="inlineStr">
        <x:is>
          <x:t xml:space="preserve">Active</x:t>
        </x:is>
      </x:c>
      <x:c r="I2" s="2" t="inlineStr">
        <x:is>
          <x:t xml:space="preserve">Имя хеда</x:t>
        </x:is>
      </x:c>
      <x:c r="J2" s="2" t="inlineStr">
        <x:is>
          <x:t xml:space="preserve">Chat ID</x:t>
        </x:is>
      </x:c>
    </x:row>
  </x:sheetData>
  <x:mergeCells>
    <x:mergeCell ref="A1:D1"/>
    <x:mergeCell ref="I1:J1"/>
    <x:mergeCell ref="E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2" customWidth="1"/>
    <x:col min="2" max="2" width="10" customWidth="1"/>
    <x:col min="3" max="3" width="16" customWidth="1"/>
    <x:col min="4" max="4" width="24" customWidth="1"/>
    <x:col min="5" max="5" width="16" customWidth="1"/>
    <x:col min="6" max="6" width="15" customWidth="1"/>
    <x:col min="7" max="7" width="15" customWidth="1"/>
    <x:col min="8" max="8" width="15" customWidth="1"/>
    <x:col min="9" max="9" width="15" customWidth="1"/>
    <x:col min="10" max="10" width="12" customWidth="1"/>
    <x:col min="11" max="11" width="12" customWidth="1"/>
    <x:col min="12" max="12" width="12" customWidth="1"/>
    <x:col min="13" max="13" width="12" customWidth="1"/>
    <x:col min="14" max="14" width="12" customWidth="1"/>
    <x:col min="15" max="15" width="12" customWidth="1"/>
    <x:col min="16" max="16" width="14" customWidth="1"/>
    <x:col min="17" max="17" width="14" customWidth="1"/>
    <x:col min="18" max="18" width="20" customWidth="1"/>
    <x:col min="19" max="19" width="16" customWidth="1"/>
    <x:col min="20" max="20" width="16" customWidth="1"/>
    <x:col min="21" max="21" width="18" customWidth="1"/>
    <x:col min="22" max="22" width="20" customWidth="1"/>
    <x:col min="23" max="23" width="26" customWidth="1"/>
    <x:col min="24" max="24" width="18" customWidth="1"/>
    <x:col min="25" max="25" width="22" customWidth="1"/>
  </x:cols>
  <x:sheetData>
    <x:row r="1">
      <x:c r="A1" s="3" t="inlineStr">
        <x:is>
          <x:t xml:space="preserve">Дата</x:t>
        </x:is>
      </x:c>
      <x:c r="B1" s="3" t="inlineStr">
        <x:is>
          <x:t xml:space="preserve">Время</x:t>
        </x:is>
      </x:c>
      <x:c r="C1" s="3" t="inlineStr">
        <x:is>
          <x:t xml:space="preserve">Reporter chat id</x:t>
        </x:is>
      </x:c>
      <x:c r="D1" s="3" t="inlineStr">
        <x:is>
          <x:t xml:space="preserve">Reporter name</x:t>
        </x:is>
      </x:c>
      <x:c r="E1" s="3" t="inlineStr">
        <x:is>
          <x:t xml:space="preserve">Teamlead chat id</x:t>
        </x:is>
      </x:c>
      <x:c r="F1" s="3" t="inlineStr">
        <x:is>
          <x:t xml:space="preserve">Номеров сделано</x:t>
        </x:is>
      </x:c>
      <x:c r="G1" s="3" t="inlineStr">
        <x:is>
          <x:t xml:space="preserve">Номеров план</x:t>
        </x:is>
      </x:c>
      <x:c r="H1" s="3" t="inlineStr">
        <x:is>
          <x:t xml:space="preserve">Плюсовых сделано</x:t>
        </x:is>
      </x:c>
      <x:c r="I1" s="3" t="inlineStr">
        <x:is>
          <x:t xml:space="preserve">Плюсовых план</x:t>
        </x:is>
      </x:c>
      <x:c r="J1" s="3" t="inlineStr">
        <x:is>
          <x:t xml:space="preserve">Актив сделано</x:t>
        </x:is>
      </x:c>
      <x:c r="K1" s="3" t="inlineStr">
        <x:is>
          <x:t xml:space="preserve">Актив план</x:t>
        </x:is>
      </x:c>
      <x:c r="L1" s="3" t="inlineStr">
        <x:is>
          <x:t xml:space="preserve">Вброс сделано</x:t>
        </x:is>
      </x:c>
      <x:c r="M1" s="3" t="inlineStr">
        <x:is>
          <x:t xml:space="preserve">Вброс план</x:t>
        </x:is>
      </x:c>
      <x:c r="N1" s="3" t="inlineStr">
        <x:is>
          <x:t xml:space="preserve">Предлог сделано</x:t>
        </x:is>
      </x:c>
      <x:c r="O1" s="3" t="inlineStr">
        <x:is>
          <x:t xml:space="preserve">Предлог план</x:t>
        </x:is>
      </x:c>
      <x:c r="P1" s="3" t="inlineStr">
        <x:is>
          <x:t xml:space="preserve">Согласий сделано</x:t>
        </x:is>
      </x:c>
      <x:c r="Q1" s="3" t="inlineStr">
        <x:is>
          <x:t xml:space="preserve">Согласий план</x:t>
        </x:is>
      </x:c>
      <x:c r="R1" s="3" t="inlineStr">
        <x:is>
          <x:t xml:space="preserve">Created at</x:t>
        </x:is>
      </x:c>
      <x:c r="S1" s="3" t="inlineStr">
        <x:is>
          <x:t xml:space="preserve">Reviewer chat id</x:t>
        </x:is>
      </x:c>
      <x:c r="T1" s="3" t="inlineStr">
        <x:is>
          <x:t xml:space="preserve">Review status</x:t>
        </x:is>
      </x:c>
      <x:c r="U1" s="3" t="inlineStr">
        <x:is>
          <x:t xml:space="preserve">Reviewed by</x:t>
        </x:is>
      </x:c>
      <x:c r="V1" s="3" t="inlineStr">
        <x:is>
          <x:t xml:space="preserve">Reviewed at</x:t>
        </x:is>
      </x:c>
      <x:c r="W1" s="3" t="inlineStr">
        <x:is>
          <x:t xml:space="preserve">Review comment</x:t>
        </x:is>
      </x:c>
      <x:c r="X1" s="3" t="inlineStr">
        <x:is>
          <x:t xml:space="preserve">Submission type</x:t>
        </x:is>
      </x:c>
      <x:c r="Y1" s="3" t="inlineStr">
        <x:is>
          <x:t xml:space="preserve">Previous rejected row</x:t>
        </x:is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2" customWidth="1"/>
    <x:col min="2" max="2" width="10" customWidth="1"/>
    <x:col min="3" max="3" width="10" customWidth="1"/>
    <x:col min="4" max="4" width="16" customWidth="1"/>
    <x:col min="5" max="5" width="24" customWidth="1"/>
    <x:col min="6" max="6" width="16" customWidth="1"/>
    <x:col min="7" max="7" width="14" customWidth="1"/>
    <x:col min="8" max="8" width="12" customWidth="1"/>
    <x:col min="9" max="9" width="18" customWidth="1"/>
    <x:col min="10" max="10" width="12" customWidth="1"/>
    <x:col min="11" max="11" width="20" customWidth="1"/>
    <x:col min="12" max="12" width="15" customWidth="1"/>
    <x:col min="13" max="13" width="14" customWidth="1"/>
    <x:col min="14" max="14" width="16" customWidth="1"/>
    <x:col min="15" max="15" width="10" customWidth="1"/>
    <x:col min="16" max="16" width="10" customWidth="1"/>
    <x:col min="17" max="17" width="10" customWidth="1"/>
    <x:col min="18" max="18" width="12" customWidth="1"/>
    <x:col min="19" max="19" width="12" customWidth="1"/>
    <x:col min="20" max="20" width="20" customWidth="1"/>
    <x:col min="21" max="21" width="16" customWidth="1"/>
    <x:col min="22" max="22" width="16" customWidth="1"/>
    <x:col min="23" max="23" width="18" customWidth="1"/>
    <x:col min="24" max="24" width="20" customWidth="1"/>
    <x:col min="25" max="25" width="26" customWidth="1"/>
    <x:col min="26" max="26" width="18" customWidth="1"/>
    <x:col min="27" max="27" width="22" customWidth="1"/>
  </x:cols>
  <x:sheetData>
    <x:row r="1">
      <x:c r="A1" s="3" t="inlineStr">
        <x:is>
          <x:t xml:space="preserve">Дата</x:t>
        </x:is>
      </x:c>
      <x:c r="B1" s="3" t="inlineStr">
        <x:is>
          <x:t xml:space="preserve">Время</x:t>
        </x:is>
      </x:c>
      <x:c r="C1" s="3" t="inlineStr">
        <x:is>
          <x:t xml:space="preserve">Role</x:t>
        </x:is>
      </x:c>
      <x:c r="D1" s="3" t="inlineStr">
        <x:is>
          <x:t xml:space="preserve">Reporter chat id</x:t>
        </x:is>
      </x:c>
      <x:c r="E1" s="3" t="inlineStr">
        <x:is>
          <x:t xml:space="preserve">Reporter name</x:t>
        </x:is>
      </x:c>
      <x:c r="F1" s="3" t="inlineStr">
        <x:is>
          <x:t xml:space="preserve">Head chat id</x:t>
        </x:is>
      </x:c>
      <x:c r="G1" s="3" t="inlineStr">
        <x:is>
          <x:t xml:space="preserve">Команда кол-во</x:t>
        </x:is>
      </x:c>
      <x:c r="H1" s="3" t="inlineStr">
        <x:is>
          <x:t xml:space="preserve">Общий актив</x:t>
        </x:is>
      </x:c>
      <x:c r="I1" s="3" t="inlineStr">
        <x:is>
          <x:t xml:space="preserve">Взято всего номеров</x:t>
        </x:is>
      </x:c>
      <x:c r="J1" s="3" t="inlineStr">
        <x:is>
          <x:t xml:space="preserve">Плюсовые</x:t>
        </x:is>
      </x:c>
      <x:c r="K1" s="3" t="inlineStr">
        <x:is>
          <x:t xml:space="preserve">Средний актив на менеджера</x:t>
        </x:is>
      </x:c>
      <x:c r="L1" s="3" t="inlineStr">
        <x:is>
          <x:t xml:space="preserve">Кол-во вбросов</x:t>
        </x:is>
      </x:c>
      <x:c r="M1" s="3" t="inlineStr">
        <x:is>
          <x:t xml:space="preserve">Кол-во предлог</x:t>
        </x:is>
      </x:c>
      <x:c r="N1" s="3" t="inlineStr">
        <x:is>
          <x:t xml:space="preserve">Кол-во согласий</x:t>
        </x:is>
      </x:c>
      <x:c r="O1" s="3" t="inlineStr">
        <x:is>
          <x:t xml:space="preserve">Лиды</x:t>
        </x:is>
      </x:c>
      <x:c r="P1" s="3" t="inlineStr">
        <x:is>
          <x:t xml:space="preserve">Депы</x:t>
        </x:is>
      </x:c>
      <x:c r="Q1" s="3" t="inlineStr">
        <x:is>
          <x:t xml:space="preserve">План</x:t>
        </x:is>
      </x:c>
      <x:c r="R1" s="3" t="inlineStr">
        <x:is>
          <x:t xml:space="preserve">Тотал сделано</x:t>
        </x:is>
      </x:c>
      <x:c r="S1" s="3" t="inlineStr">
        <x:is>
          <x:t xml:space="preserve">Тотал план</x:t>
        </x:is>
      </x:c>
      <x:c r="T1" s="3" t="inlineStr">
        <x:is>
          <x:t xml:space="preserve">Created at</x:t>
        </x:is>
      </x:c>
      <x:c r="U1" s="3" t="inlineStr">
        <x:is>
          <x:t xml:space="preserve">Reviewer chat id</x:t>
        </x:is>
      </x:c>
      <x:c r="V1" s="3" t="inlineStr">
        <x:is>
          <x:t xml:space="preserve">Review status</x:t>
        </x:is>
      </x:c>
      <x:c r="W1" s="3" t="inlineStr">
        <x:is>
          <x:t xml:space="preserve">Reviewed by</x:t>
        </x:is>
      </x:c>
      <x:c r="X1" s="3" t="inlineStr">
        <x:is>
          <x:t xml:space="preserve">Reviewed at</x:t>
        </x:is>
      </x:c>
      <x:c r="Y1" s="3" t="inlineStr">
        <x:is>
          <x:t xml:space="preserve">Review comment</x:t>
        </x:is>
      </x:c>
      <x:c r="Z1" s="3" t="inlineStr">
        <x:is>
          <x:t xml:space="preserve">Submission type</x:t>
        </x:is>
      </x:c>
      <x:c r="AA1" s="3" t="inlineStr">
        <x:is>
          <x:t xml:space="preserve">Previous rejected row</x:t>
        </x:is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2" customWidth="1"/>
    <x:col min="2" max="2" width="10" customWidth="1"/>
    <x:col min="3" max="3" width="10" customWidth="1"/>
    <x:col min="4" max="4" width="16" customWidth="1"/>
    <x:col min="5" max="5" width="24" customWidth="1"/>
    <x:col min="6" max="6" width="14" customWidth="1"/>
    <x:col min="7" max="7" width="12" customWidth="1"/>
    <x:col min="8" max="8" width="18" customWidth="1"/>
    <x:col min="9" max="9" width="12" customWidth="1"/>
    <x:col min="10" max="10" width="20" customWidth="1"/>
    <x:col min="11" max="11" width="15" customWidth="1"/>
    <x:col min="12" max="12" width="14" customWidth="1"/>
    <x:col min="13" max="13" width="16" customWidth="1"/>
    <x:col min="14" max="14" width="10" customWidth="1"/>
    <x:col min="15" max="15" width="10" customWidth="1"/>
    <x:col min="16" max="16" width="10" customWidth="1"/>
    <x:col min="17" max="17" width="12" customWidth="1"/>
    <x:col min="18" max="18" width="12" customWidth="1"/>
    <x:col min="19" max="19" width="20" customWidth="1"/>
  </x:cols>
  <x:sheetData>
    <x:row r="1">
      <x:c r="A1" s="3" t="inlineStr">
        <x:is>
          <x:t xml:space="preserve">Дата</x:t>
        </x:is>
      </x:c>
      <x:c r="B1" s="3" t="inlineStr">
        <x:is>
          <x:t xml:space="preserve">Время</x:t>
        </x:is>
      </x:c>
      <x:c r="C1" s="3" t="inlineStr">
        <x:is>
          <x:t xml:space="preserve">Role</x:t>
        </x:is>
      </x:c>
      <x:c r="D1" s="3" t="inlineStr">
        <x:is>
          <x:t xml:space="preserve">Reporter chat id</x:t>
        </x:is>
      </x:c>
      <x:c r="E1" s="3" t="inlineStr">
        <x:is>
          <x:t xml:space="preserve">Reporter name</x:t>
        </x:is>
      </x:c>
      <x:c r="F1" s="3" t="inlineStr">
        <x:is>
          <x:t xml:space="preserve">Команда кол-во</x:t>
        </x:is>
      </x:c>
      <x:c r="G1" s="3" t="inlineStr">
        <x:is>
          <x:t xml:space="preserve">Общий актив</x:t>
        </x:is>
      </x:c>
      <x:c r="H1" s="3" t="inlineStr">
        <x:is>
          <x:t xml:space="preserve">Взято всего номеров</x:t>
        </x:is>
      </x:c>
      <x:c r="I1" s="3" t="inlineStr">
        <x:is>
          <x:t xml:space="preserve">Плюсовые</x:t>
        </x:is>
      </x:c>
      <x:c r="J1" s="3" t="inlineStr">
        <x:is>
          <x:t xml:space="preserve">Средний актив на менеджера</x:t>
        </x:is>
      </x:c>
      <x:c r="K1" s="3" t="inlineStr">
        <x:is>
          <x:t xml:space="preserve">Кол-во вбросов</x:t>
        </x:is>
      </x:c>
      <x:c r="L1" s="3" t="inlineStr">
        <x:is>
          <x:t xml:space="preserve">Кол-во предлог</x:t>
        </x:is>
      </x:c>
      <x:c r="M1" s="3" t="inlineStr">
        <x:is>
          <x:t xml:space="preserve">Кол-во согласий</x:t>
        </x:is>
      </x:c>
      <x:c r="N1" s="3" t="inlineStr">
        <x:is>
          <x:t xml:space="preserve">Лиды</x:t>
        </x:is>
      </x:c>
      <x:c r="O1" s="3" t="inlineStr">
        <x:is>
          <x:t xml:space="preserve">Депы</x:t>
        </x:is>
      </x:c>
      <x:c r="P1" s="3" t="inlineStr">
        <x:is>
          <x:t xml:space="preserve">План</x:t>
        </x:is>
      </x:c>
      <x:c r="Q1" s="3" t="inlineStr">
        <x:is>
          <x:t xml:space="preserve">Тотал сделано</x:t>
        </x:is>
      </x:c>
      <x:c r="R1" s="3" t="inlineStr">
        <x:is>
          <x:t xml:space="preserve">Тотал план</x:t>
        </x:is>
      </x:c>
      <x:c r="S1" s="3" t="inlineStr">
        <x:is>
          <x:t xml:space="preserve">Created at</x:t>
        </x:is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4" customWidth="1"/>
    <x:col min="2" max="2" width="14" customWidth="1"/>
    <x:col min="3" max="3" width="18" customWidth="1"/>
    <x:col min="4" max="4" width="17" customWidth="1"/>
    <x:col min="5" max="5" width="14" customWidth="1"/>
    <x:col min="6" max="6" width="17" customWidth="1"/>
    <x:col min="7" max="7" width="14" customWidth="1"/>
    <x:col min="8" max="8" width="18" customWidth="1"/>
    <x:col min="9" max="9" width="15" customWidth="1"/>
    <x:col min="10" max="10" width="15" customWidth="1"/>
    <x:col min="11" max="11" width="14" customWidth="1"/>
    <x:col min="12" max="12" width="15" customWidth="1"/>
    <x:col min="13" max="13" width="14" customWidth="1"/>
    <x:col min="14" max="14" width="17" customWidth="1"/>
    <x:col min="15" max="15" width="14" customWidth="1"/>
    <x:col min="16" max="16" width="18" customWidth="1"/>
    <x:col min="17" max="17" width="15" customWidth="1"/>
  </x:cols>
  <x:sheetData>
    <x:row r="1">
      <x:c r="A1" s="4" t="inlineStr">
        <x:is>
          <x:t xml:space="preserve">Менеджер</x:t>
        </x:is>
      </x:c>
      <x:c r="B1" s="4" t="inlineStr">
        <x:is>
          <x:t xml:space="preserve">Chat ID</x:t>
        </x:is>
      </x:c>
      <x:c r="C1" s="4" t="inlineStr">
        <x:is>
          <x:t xml:space="preserve">Teamlead Chat ID</x:t>
        </x:is>
      </x:c>
      <x:c r="D1" s="4" t="inlineStr">
        <x:is>
          <x:t xml:space="preserve">Отчётов сегодня</x:t>
        </x:is>
      </x:c>
      <x:c r="E1" s="4" t="inlineStr">
        <x:is>
          <x:t xml:space="preserve">Статус</x:t>
        </x:is>
      </x:c>
      <x:c r="F1" s="4" t="inlineStr">
        <x:is>
          <x:t xml:space="preserve">Номеров сделано</x:t>
        </x:is>
      </x:c>
      <x:c r="G1" s="4" t="inlineStr">
        <x:is>
          <x:t xml:space="preserve">Номеров план</x:t>
        </x:is>
      </x:c>
      <x:c r="H1" s="4" t="inlineStr">
        <x:is>
          <x:t xml:space="preserve">Плюсовых сделано</x:t>
        </x:is>
      </x:c>
      <x:c r="I1" s="4" t="inlineStr">
        <x:is>
          <x:t xml:space="preserve">Плюсовых план</x:t>
        </x:is>
      </x:c>
      <x:c r="J1" s="4" t="inlineStr">
        <x:is>
          <x:t xml:space="preserve">Актив сделано</x:t>
        </x:is>
      </x:c>
      <x:c r="K1" s="4" t="inlineStr">
        <x:is>
          <x:t xml:space="preserve">Актив план</x:t>
        </x:is>
      </x:c>
      <x:c r="L1" s="4" t="inlineStr">
        <x:is>
          <x:t xml:space="preserve">Вброс сделано</x:t>
        </x:is>
      </x:c>
      <x:c r="M1" s="4" t="inlineStr">
        <x:is>
          <x:t xml:space="preserve">Вброс план</x:t>
        </x:is>
      </x:c>
      <x:c r="N1" s="4" t="inlineStr">
        <x:is>
          <x:t xml:space="preserve">Предлог сделано</x:t>
        </x:is>
      </x:c>
      <x:c r="O1" s="4" t="inlineStr">
        <x:is>
          <x:t xml:space="preserve">Предлог план</x:t>
        </x:is>
      </x:c>
      <x:c r="P1" s="4" t="inlineStr">
        <x:is>
          <x:t xml:space="preserve">Согласий сделано</x:t>
        </x:is>
      </x:c>
      <x:c r="Q1" s="4" t="inlineStr">
        <x:is>
          <x:t xml:space="preserve">Согласий план</x:t>
        </x:is>
      </x:c>
    </x:row>
    <x:row r="2">
      <x:c r="A2" s="5" t="str">
        <x:f>Settings!A2</x:f>
        <x:v>Имя менеджера</x:v>
      </x:c>
      <x:c r="B2" s="5" t="str">
        <x:f>Settings!B2</x:f>
        <x:v>Chat ID</x:v>
      </x:c>
      <x:c r="C2" s="5" t="str">
        <x:f>Settings!C2</x:f>
        <x:v>Teamlead Chat ID</x:v>
      </x:c>
      <x:c r="D2" s="5">
        <x:f>IF($A2="","",COUNTIFS(Manager_Reports!$A:$A,Dashboard!$B$2,Manager_Reports!$C:$C,$B2))</x:f>
        <x:v>0</x:v>
      </x:c>
      <x:c r="E2" s="5">
        <x:f>IF($A2="","",IFERROR(LOOKUP(2,1/((Manager_Reports!$A:$A=Dashboard!$B$2)*(Manager_Reports!$C:$C=$B2)),Manager_Reports!$T:$T),""))</x:f>
      </x:c>
      <x:c r="F2" s="5">
        <x:f>IF($A2="","",SUMIFS(Manager_Reports!$F:$F,Manager_Reports!$A:$A,Dashboard!$B$2,Manager_Reports!$C:$C,$B2))</x:f>
        <x:v>0</x:v>
      </x:c>
      <x:c r="G2" s="5">
        <x:f>IF($A2="","",SUMIFS(Manager_Reports!$G:$G,Manager_Reports!$A:$A,Dashboard!$B$2,Manager_Reports!$C:$C,$B2))</x:f>
        <x:v>0</x:v>
      </x:c>
      <x:c r="H2" s="5">
        <x:f>IF($A2="","",SUMIFS(Manager_Reports!$H:$H,Manager_Reports!$A:$A,Dashboard!$B$2,Manager_Reports!$C:$C,$B2))</x:f>
        <x:v>0</x:v>
      </x:c>
      <x:c r="I2" s="5">
        <x:f>IF($A2="","",SUMIFS(Manager_Reports!$I:$I,Manager_Reports!$A:$A,Dashboard!$B$2,Manager_Reports!$C:$C,$B2))</x:f>
        <x:v>0</x:v>
      </x:c>
      <x:c r="J2" s="5">
        <x:f>IF($A2="","",SUMIFS(Manager_Reports!$J:$J,Manager_Reports!$A:$A,Dashboard!$B$2,Manager_Reports!$C:$C,$B2))</x:f>
        <x:v>0</x:v>
      </x:c>
      <x:c r="K2" s="5">
        <x:f>IF($A2="","",SUMIFS(Manager_Reports!$K:$K,Manager_Reports!$A:$A,Dashboard!$B$2,Manager_Reports!$C:$C,$B2))</x:f>
        <x:v>0</x:v>
      </x:c>
      <x:c r="L2" s="5">
        <x:f>IF($A2="","",SUMIFS(Manager_Reports!$L:$L,Manager_Reports!$A:$A,Dashboard!$B$2,Manager_Reports!$C:$C,$B2))</x:f>
        <x:v>0</x:v>
      </x:c>
      <x:c r="M2" s="5">
        <x:f>IF($A2="","",SUMIFS(Manager_Reports!$M:$M,Manager_Reports!$A:$A,Dashboard!$B$2,Manager_Reports!$C:$C,$B2))</x:f>
        <x:v>0</x:v>
      </x:c>
      <x:c r="N2" s="5">
        <x:f>IF($A2="","",SUMIFS(Manager_Reports!$N:$N,Manager_Reports!$A:$A,Dashboard!$B$2,Manager_Reports!$C:$C,$B2))</x:f>
        <x:v>0</x:v>
      </x:c>
      <x:c r="O2" s="5">
        <x:f>IF($A2="","",SUMIFS(Manager_Reports!$O:$O,Manager_Reports!$A:$A,Dashboard!$B$2,Manager_Reports!$C:$C,$B2))</x:f>
        <x:v>0</x:v>
      </x:c>
      <x:c r="P2" s="5">
        <x:f>IF($A2="","",SUMIFS(Manager_Reports!$P:$P,Manager_Reports!$A:$A,Dashboard!$B$2,Manager_Reports!$C:$C,$B2))</x:f>
        <x:v>0</x:v>
      </x:c>
      <x:c r="Q2" s="5">
        <x:f>IF($A2="","",SUMIFS(Manager_Reports!$Q:$Q,Manager_Reports!$A:$A,Dashboard!$B$2,Manager_Reports!$C:$C,$B2))</x:f>
        <x:v>0</x:v>
      </x:c>
    </x:row>
    <x:row r="3">
      <x:c r="A3" s="5">
        <x:f>Settings!A3</x:f>
        <x:v>0</x:v>
      </x:c>
      <x:c r="B3" s="5">
        <x:f>Settings!B3</x:f>
        <x:v>0</x:v>
      </x:c>
      <x:c r="C3" s="5">
        <x:f>Settings!C3</x:f>
        <x:v>0</x:v>
      </x:c>
      <x:c r="D3" s="5">
        <x:f>IF($A3="","",COUNTIFS(Manager_Reports!$A:$A,Dashboard!$B$2,Manager_Reports!$C:$C,$B3))</x:f>
      </x:c>
      <x:c r="E3" s="5">
        <x:f>IF($A3="","",IFERROR(LOOKUP(2,1/((Manager_Reports!$A:$A=Dashboard!$B$2)*(Manager_Reports!$C:$C=$B3)),Manager_Reports!$T:$T),""))</x:f>
      </x:c>
      <x:c r="F3" s="5">
        <x:f>IF($A3="","",SUMIFS(Manager_Reports!$F:$F,Manager_Reports!$A:$A,Dashboard!$B$2,Manager_Reports!$C:$C,$B3))</x:f>
      </x:c>
      <x:c r="G3" s="5">
        <x:f>IF($A3="","",SUMIFS(Manager_Reports!$G:$G,Manager_Reports!$A:$A,Dashboard!$B$2,Manager_Reports!$C:$C,$B3))</x:f>
      </x:c>
      <x:c r="H3" s="5">
        <x:f>IF($A3="","",SUMIFS(Manager_Reports!$H:$H,Manager_Reports!$A:$A,Dashboard!$B$2,Manager_Reports!$C:$C,$B3))</x:f>
      </x:c>
      <x:c r="I3" s="5">
        <x:f>IF($A3="","",SUMIFS(Manager_Reports!$I:$I,Manager_Reports!$A:$A,Dashboard!$B$2,Manager_Reports!$C:$C,$B3))</x:f>
      </x:c>
      <x:c r="J3" s="5">
        <x:f>IF($A3="","",SUMIFS(Manager_Reports!$J:$J,Manager_Reports!$A:$A,Dashboard!$B$2,Manager_Reports!$C:$C,$B3))</x:f>
      </x:c>
      <x:c r="K3" s="5">
        <x:f>IF($A3="","",SUMIFS(Manager_Reports!$K:$K,Manager_Reports!$A:$A,Dashboard!$B$2,Manager_Reports!$C:$C,$B3))</x:f>
      </x:c>
      <x:c r="L3" s="5">
        <x:f>IF($A3="","",SUMIFS(Manager_Reports!$L:$L,Manager_Reports!$A:$A,Dashboard!$B$2,Manager_Reports!$C:$C,$B3))</x:f>
      </x:c>
      <x:c r="M3" s="5">
        <x:f>IF($A3="","",SUMIFS(Manager_Reports!$M:$M,Manager_Reports!$A:$A,Dashboard!$B$2,Manager_Reports!$C:$C,$B3))</x:f>
      </x:c>
      <x:c r="N3" s="5">
        <x:f>IF($A3="","",SUMIFS(Manager_Reports!$N:$N,Manager_Reports!$A:$A,Dashboard!$B$2,Manager_Reports!$C:$C,$B3))</x:f>
      </x:c>
      <x:c r="O3" s="5">
        <x:f>IF($A3="","",SUMIFS(Manager_Reports!$O:$O,Manager_Reports!$A:$A,Dashboard!$B$2,Manager_Reports!$C:$C,$B3))</x:f>
      </x:c>
      <x:c r="P3" s="5">
        <x:f>IF($A3="","",SUMIFS(Manager_Reports!$P:$P,Manager_Reports!$A:$A,Dashboard!$B$2,Manager_Reports!$C:$C,$B3))</x:f>
      </x:c>
      <x:c r="Q3" s="5">
        <x:f>IF($A3="","",SUMIFS(Manager_Reports!$Q:$Q,Manager_Reports!$A:$A,Dashboard!$B$2,Manager_Reports!$C:$C,$B3))</x:f>
      </x:c>
    </x:row>
    <x:row r="4">
      <x:c r="A4" s="5">
        <x:f>Settings!A4</x:f>
        <x:v>0</x:v>
      </x:c>
      <x:c r="B4" s="5">
        <x:f>Settings!B4</x:f>
        <x:v>0</x:v>
      </x:c>
      <x:c r="C4" s="5">
        <x:f>Settings!C4</x:f>
        <x:v>0</x:v>
      </x:c>
      <x:c r="D4" s="5">
        <x:f>IF($A4="","",COUNTIFS(Manager_Reports!$A:$A,Dashboard!$B$2,Manager_Reports!$C:$C,$B4))</x:f>
      </x:c>
      <x:c r="E4" s="5">
        <x:f>IF($A4="","",IFERROR(LOOKUP(2,1/((Manager_Reports!$A:$A=Dashboard!$B$2)*(Manager_Reports!$C:$C=$B4)),Manager_Reports!$T:$T),""))</x:f>
      </x:c>
      <x:c r="F4" s="5">
        <x:f>IF($A4="","",SUMIFS(Manager_Reports!$F:$F,Manager_Reports!$A:$A,Dashboard!$B$2,Manager_Reports!$C:$C,$B4))</x:f>
      </x:c>
      <x:c r="G4" s="5">
        <x:f>IF($A4="","",SUMIFS(Manager_Reports!$G:$G,Manager_Reports!$A:$A,Dashboard!$B$2,Manager_Reports!$C:$C,$B4))</x:f>
      </x:c>
      <x:c r="H4" s="5">
        <x:f>IF($A4="","",SUMIFS(Manager_Reports!$H:$H,Manager_Reports!$A:$A,Dashboard!$B$2,Manager_Reports!$C:$C,$B4))</x:f>
      </x:c>
      <x:c r="I4" s="5">
        <x:f>IF($A4="","",SUMIFS(Manager_Reports!$I:$I,Manager_Reports!$A:$A,Dashboard!$B$2,Manager_Reports!$C:$C,$B4))</x:f>
      </x:c>
      <x:c r="J4" s="5">
        <x:f>IF($A4="","",SUMIFS(Manager_Reports!$J:$J,Manager_Reports!$A:$A,Dashboard!$B$2,Manager_Reports!$C:$C,$B4))</x:f>
      </x:c>
      <x:c r="K4" s="5">
        <x:f>IF($A4="","",SUMIFS(Manager_Reports!$K:$K,Manager_Reports!$A:$A,Dashboard!$B$2,Manager_Reports!$C:$C,$B4))</x:f>
      </x:c>
      <x:c r="L4" s="5">
        <x:f>IF($A4="","",SUMIFS(Manager_Reports!$L:$L,Manager_Reports!$A:$A,Dashboard!$B$2,Manager_Reports!$C:$C,$B4))</x:f>
      </x:c>
      <x:c r="M4" s="5">
        <x:f>IF($A4="","",SUMIFS(Manager_Reports!$M:$M,Manager_Reports!$A:$A,Dashboard!$B$2,Manager_Reports!$C:$C,$B4))</x:f>
      </x:c>
      <x:c r="N4" s="5">
        <x:f>IF($A4="","",SUMIFS(Manager_Reports!$N:$N,Manager_Reports!$A:$A,Dashboard!$B$2,Manager_Reports!$C:$C,$B4))</x:f>
      </x:c>
      <x:c r="O4" s="5">
        <x:f>IF($A4="","",SUMIFS(Manager_Reports!$O:$O,Manager_Reports!$A:$A,Dashboard!$B$2,Manager_Reports!$C:$C,$B4))</x:f>
      </x:c>
      <x:c r="P4" s="5">
        <x:f>IF($A4="","",SUMIFS(Manager_Reports!$P:$P,Manager_Reports!$A:$A,Dashboard!$B$2,Manager_Reports!$C:$C,$B4))</x:f>
      </x:c>
      <x:c r="Q4" s="5">
        <x:f>IF($A4="","",SUMIFS(Manager_Reports!$Q:$Q,Manager_Reports!$A:$A,Dashboard!$B$2,Manager_Reports!$C:$C,$B4))</x:f>
      </x:c>
    </x:row>
    <x:row r="5">
      <x:c r="A5" s="5">
        <x:f>Settings!A5</x:f>
        <x:v>0</x:v>
      </x:c>
      <x:c r="B5" s="5">
        <x:f>Settings!B5</x:f>
        <x:v>0</x:v>
      </x:c>
      <x:c r="C5" s="5">
        <x:f>Settings!C5</x:f>
        <x:v>0</x:v>
      </x:c>
      <x:c r="D5" s="5">
        <x:f>IF($A5="","",COUNTIFS(Manager_Reports!$A:$A,Dashboard!$B$2,Manager_Reports!$C:$C,$B5))</x:f>
      </x:c>
      <x:c r="E5" s="5">
        <x:f>IF($A5="","",IFERROR(LOOKUP(2,1/((Manager_Reports!$A:$A=Dashboard!$B$2)*(Manager_Reports!$C:$C=$B5)),Manager_Reports!$T:$T),""))</x:f>
      </x:c>
      <x:c r="F5" s="5">
        <x:f>IF($A5="","",SUMIFS(Manager_Reports!$F:$F,Manager_Reports!$A:$A,Dashboard!$B$2,Manager_Reports!$C:$C,$B5))</x:f>
      </x:c>
      <x:c r="G5" s="5">
        <x:f>IF($A5="","",SUMIFS(Manager_Reports!$G:$G,Manager_Reports!$A:$A,Dashboard!$B$2,Manager_Reports!$C:$C,$B5))</x:f>
      </x:c>
      <x:c r="H5" s="5">
        <x:f>IF($A5="","",SUMIFS(Manager_Reports!$H:$H,Manager_Reports!$A:$A,Dashboard!$B$2,Manager_Reports!$C:$C,$B5))</x:f>
      </x:c>
      <x:c r="I5" s="5">
        <x:f>IF($A5="","",SUMIFS(Manager_Reports!$I:$I,Manager_Reports!$A:$A,Dashboard!$B$2,Manager_Reports!$C:$C,$B5))</x:f>
      </x:c>
      <x:c r="J5" s="5">
        <x:f>IF($A5="","",SUMIFS(Manager_Reports!$J:$J,Manager_Reports!$A:$A,Dashboard!$B$2,Manager_Reports!$C:$C,$B5))</x:f>
      </x:c>
      <x:c r="K5" s="5">
        <x:f>IF($A5="","",SUMIFS(Manager_Reports!$K:$K,Manager_Reports!$A:$A,Dashboard!$B$2,Manager_Reports!$C:$C,$B5))</x:f>
      </x:c>
      <x:c r="L5" s="5">
        <x:f>IF($A5="","",SUMIFS(Manager_Reports!$L:$L,Manager_Reports!$A:$A,Dashboard!$B$2,Manager_Reports!$C:$C,$B5))</x:f>
      </x:c>
      <x:c r="M5" s="5">
        <x:f>IF($A5="","",SUMIFS(Manager_Reports!$M:$M,Manager_Reports!$A:$A,Dashboard!$B$2,Manager_Reports!$C:$C,$B5))</x:f>
      </x:c>
      <x:c r="N5" s="5">
        <x:f>IF($A5="","",SUMIFS(Manager_Reports!$N:$N,Manager_Reports!$A:$A,Dashboard!$B$2,Manager_Reports!$C:$C,$B5))</x:f>
      </x:c>
      <x:c r="O5" s="5">
        <x:f>IF($A5="","",SUMIFS(Manager_Reports!$O:$O,Manager_Reports!$A:$A,Dashboard!$B$2,Manager_Reports!$C:$C,$B5))</x:f>
      </x:c>
      <x:c r="P5" s="5">
        <x:f>IF($A5="","",SUMIFS(Manager_Reports!$P:$P,Manager_Reports!$A:$A,Dashboard!$B$2,Manager_Reports!$C:$C,$B5))</x:f>
      </x:c>
      <x:c r="Q5" s="5">
        <x:f>IF($A5="","",SUMIFS(Manager_Reports!$Q:$Q,Manager_Reports!$A:$A,Dashboard!$B$2,Manager_Reports!$C:$C,$B5))</x:f>
      </x:c>
    </x:row>
    <x:row r="6">
      <x:c r="A6" s="5">
        <x:f>Settings!A6</x:f>
        <x:v>0</x:v>
      </x:c>
      <x:c r="B6" s="5">
        <x:f>Settings!B6</x:f>
        <x:v>0</x:v>
      </x:c>
      <x:c r="C6" s="5">
        <x:f>Settings!C6</x:f>
        <x:v>0</x:v>
      </x:c>
      <x:c r="D6" s="5">
        <x:f>IF($A6="","",COUNTIFS(Manager_Reports!$A:$A,Dashboard!$B$2,Manager_Reports!$C:$C,$B6))</x:f>
      </x:c>
      <x:c r="E6" s="5">
        <x:f>IF($A6="","",IFERROR(LOOKUP(2,1/((Manager_Reports!$A:$A=Dashboard!$B$2)*(Manager_Reports!$C:$C=$B6)),Manager_Reports!$T:$T),""))</x:f>
      </x:c>
      <x:c r="F6" s="5">
        <x:f>IF($A6="","",SUMIFS(Manager_Reports!$F:$F,Manager_Reports!$A:$A,Dashboard!$B$2,Manager_Reports!$C:$C,$B6))</x:f>
      </x:c>
      <x:c r="G6" s="5">
        <x:f>IF($A6="","",SUMIFS(Manager_Reports!$G:$G,Manager_Reports!$A:$A,Dashboard!$B$2,Manager_Reports!$C:$C,$B6))</x:f>
      </x:c>
      <x:c r="H6" s="5">
        <x:f>IF($A6="","",SUMIFS(Manager_Reports!$H:$H,Manager_Reports!$A:$A,Dashboard!$B$2,Manager_Reports!$C:$C,$B6))</x:f>
      </x:c>
      <x:c r="I6" s="5">
        <x:f>IF($A6="","",SUMIFS(Manager_Reports!$I:$I,Manager_Reports!$A:$A,Dashboard!$B$2,Manager_Reports!$C:$C,$B6))</x:f>
      </x:c>
      <x:c r="J6" s="5">
        <x:f>IF($A6="","",SUMIFS(Manager_Reports!$J:$J,Manager_Reports!$A:$A,Dashboard!$B$2,Manager_Reports!$C:$C,$B6))</x:f>
      </x:c>
      <x:c r="K6" s="5">
        <x:f>IF($A6="","",SUMIFS(Manager_Reports!$K:$K,Manager_Reports!$A:$A,Dashboard!$B$2,Manager_Reports!$C:$C,$B6))</x:f>
      </x:c>
      <x:c r="L6" s="5">
        <x:f>IF($A6="","",SUMIFS(Manager_Reports!$L:$L,Manager_Reports!$A:$A,Dashboard!$B$2,Manager_Reports!$C:$C,$B6))</x:f>
      </x:c>
      <x:c r="M6" s="5">
        <x:f>IF($A6="","",SUMIFS(Manager_Reports!$M:$M,Manager_Reports!$A:$A,Dashboard!$B$2,Manager_Reports!$C:$C,$B6))</x:f>
      </x:c>
      <x:c r="N6" s="5">
        <x:f>IF($A6="","",SUMIFS(Manager_Reports!$N:$N,Manager_Reports!$A:$A,Dashboard!$B$2,Manager_Reports!$C:$C,$B6))</x:f>
      </x:c>
      <x:c r="O6" s="5">
        <x:f>IF($A6="","",SUMIFS(Manager_Reports!$O:$O,Manager_Reports!$A:$A,Dashboard!$B$2,Manager_Reports!$C:$C,$B6))</x:f>
      </x:c>
      <x:c r="P6" s="5">
        <x:f>IF($A6="","",SUMIFS(Manager_Reports!$P:$P,Manager_Reports!$A:$A,Dashboard!$B$2,Manager_Reports!$C:$C,$B6))</x:f>
      </x:c>
      <x:c r="Q6" s="5">
        <x:f>IF($A6="","",SUMIFS(Manager_Reports!$Q:$Q,Manager_Reports!$A:$A,Dashboard!$B$2,Manager_Reports!$C:$C,$B6))</x:f>
      </x:c>
    </x:row>
    <x:row r="7">
      <x:c r="A7" s="5">
        <x:f>Settings!A7</x:f>
        <x:v>0</x:v>
      </x:c>
      <x:c r="B7" s="5">
        <x:f>Settings!B7</x:f>
        <x:v>0</x:v>
      </x:c>
      <x:c r="C7" s="5">
        <x:f>Settings!C7</x:f>
        <x:v>0</x:v>
      </x:c>
      <x:c r="D7" s="5">
        <x:f>IF($A7="","",COUNTIFS(Manager_Reports!$A:$A,Dashboard!$B$2,Manager_Reports!$C:$C,$B7))</x:f>
      </x:c>
      <x:c r="E7" s="5">
        <x:f>IF($A7="","",IFERROR(LOOKUP(2,1/((Manager_Reports!$A:$A=Dashboard!$B$2)*(Manager_Reports!$C:$C=$B7)),Manager_Reports!$T:$T),""))</x:f>
      </x:c>
      <x:c r="F7" s="5">
        <x:f>IF($A7="","",SUMIFS(Manager_Reports!$F:$F,Manager_Reports!$A:$A,Dashboard!$B$2,Manager_Reports!$C:$C,$B7))</x:f>
      </x:c>
      <x:c r="G7" s="5">
        <x:f>IF($A7="","",SUMIFS(Manager_Reports!$G:$G,Manager_Reports!$A:$A,Dashboard!$B$2,Manager_Reports!$C:$C,$B7))</x:f>
      </x:c>
      <x:c r="H7" s="5">
        <x:f>IF($A7="","",SUMIFS(Manager_Reports!$H:$H,Manager_Reports!$A:$A,Dashboard!$B$2,Manager_Reports!$C:$C,$B7))</x:f>
      </x:c>
      <x:c r="I7" s="5">
        <x:f>IF($A7="","",SUMIFS(Manager_Reports!$I:$I,Manager_Reports!$A:$A,Dashboard!$B$2,Manager_Reports!$C:$C,$B7))</x:f>
      </x:c>
      <x:c r="J7" s="5">
        <x:f>IF($A7="","",SUMIFS(Manager_Reports!$J:$J,Manager_Reports!$A:$A,Dashboard!$B$2,Manager_Reports!$C:$C,$B7))</x:f>
      </x:c>
      <x:c r="K7" s="5">
        <x:f>IF($A7="","",SUMIFS(Manager_Reports!$K:$K,Manager_Reports!$A:$A,Dashboard!$B$2,Manager_Reports!$C:$C,$B7))</x:f>
      </x:c>
      <x:c r="L7" s="5">
        <x:f>IF($A7="","",SUMIFS(Manager_Reports!$L:$L,Manager_Reports!$A:$A,Dashboard!$B$2,Manager_Reports!$C:$C,$B7))</x:f>
      </x:c>
      <x:c r="M7" s="5">
        <x:f>IF($A7="","",SUMIFS(Manager_Reports!$M:$M,Manager_Reports!$A:$A,Dashboard!$B$2,Manager_Reports!$C:$C,$B7))</x:f>
      </x:c>
      <x:c r="N7" s="5">
        <x:f>IF($A7="","",SUMIFS(Manager_Reports!$N:$N,Manager_Reports!$A:$A,Dashboard!$B$2,Manager_Reports!$C:$C,$B7))</x:f>
      </x:c>
      <x:c r="O7" s="5">
        <x:f>IF($A7="","",SUMIFS(Manager_Reports!$O:$O,Manager_Reports!$A:$A,Dashboard!$B$2,Manager_Reports!$C:$C,$B7))</x:f>
      </x:c>
      <x:c r="P7" s="5">
        <x:f>IF($A7="","",SUMIFS(Manager_Reports!$P:$P,Manager_Reports!$A:$A,Dashboard!$B$2,Manager_Reports!$C:$C,$B7))</x:f>
      </x:c>
      <x:c r="Q7" s="5">
        <x:f>IF($A7="","",SUMIFS(Manager_Reports!$Q:$Q,Manager_Reports!$A:$A,Dashboard!$B$2,Manager_Reports!$C:$C,$B7))</x:f>
      </x:c>
    </x:row>
    <x:row r="8">
      <x:c r="A8" s="5">
        <x:f>Settings!A8</x:f>
        <x:v>0</x:v>
      </x:c>
      <x:c r="B8" s="5">
        <x:f>Settings!B8</x:f>
        <x:v>0</x:v>
      </x:c>
      <x:c r="C8" s="5">
        <x:f>Settings!C8</x:f>
        <x:v>0</x:v>
      </x:c>
      <x:c r="D8" s="5">
        <x:f>IF($A8="","",COUNTIFS(Manager_Reports!$A:$A,Dashboard!$B$2,Manager_Reports!$C:$C,$B8))</x:f>
      </x:c>
      <x:c r="E8" s="5">
        <x:f>IF($A8="","",IFERROR(LOOKUP(2,1/((Manager_Reports!$A:$A=Dashboard!$B$2)*(Manager_Reports!$C:$C=$B8)),Manager_Reports!$T:$T),""))</x:f>
      </x:c>
      <x:c r="F8" s="5">
        <x:f>IF($A8="","",SUMIFS(Manager_Reports!$F:$F,Manager_Reports!$A:$A,Dashboard!$B$2,Manager_Reports!$C:$C,$B8))</x:f>
      </x:c>
      <x:c r="G8" s="5">
        <x:f>IF($A8="","",SUMIFS(Manager_Reports!$G:$G,Manager_Reports!$A:$A,Dashboard!$B$2,Manager_Reports!$C:$C,$B8))</x:f>
      </x:c>
      <x:c r="H8" s="5">
        <x:f>IF($A8="","",SUMIFS(Manager_Reports!$H:$H,Manager_Reports!$A:$A,Dashboard!$B$2,Manager_Reports!$C:$C,$B8))</x:f>
      </x:c>
      <x:c r="I8" s="5">
        <x:f>IF($A8="","",SUMIFS(Manager_Reports!$I:$I,Manager_Reports!$A:$A,Dashboard!$B$2,Manager_Reports!$C:$C,$B8))</x:f>
      </x:c>
      <x:c r="J8" s="5">
        <x:f>IF($A8="","",SUMIFS(Manager_Reports!$J:$J,Manager_Reports!$A:$A,Dashboard!$B$2,Manager_Reports!$C:$C,$B8))</x:f>
      </x:c>
      <x:c r="K8" s="5">
        <x:f>IF($A8="","",SUMIFS(Manager_Reports!$K:$K,Manager_Reports!$A:$A,Dashboard!$B$2,Manager_Reports!$C:$C,$B8))</x:f>
      </x:c>
      <x:c r="L8" s="5">
        <x:f>IF($A8="","",SUMIFS(Manager_Reports!$L:$L,Manager_Reports!$A:$A,Dashboard!$B$2,Manager_Reports!$C:$C,$B8))</x:f>
      </x:c>
      <x:c r="M8" s="5">
        <x:f>IF($A8="","",SUMIFS(Manager_Reports!$M:$M,Manager_Reports!$A:$A,Dashboard!$B$2,Manager_Reports!$C:$C,$B8))</x:f>
      </x:c>
      <x:c r="N8" s="5">
        <x:f>IF($A8="","",SUMIFS(Manager_Reports!$N:$N,Manager_Reports!$A:$A,Dashboard!$B$2,Manager_Reports!$C:$C,$B8))</x:f>
      </x:c>
      <x:c r="O8" s="5">
        <x:f>IF($A8="","",SUMIFS(Manager_Reports!$O:$O,Manager_Reports!$A:$A,Dashboard!$B$2,Manager_Reports!$C:$C,$B8))</x:f>
      </x:c>
      <x:c r="P8" s="5">
        <x:f>IF($A8="","",SUMIFS(Manager_Reports!$P:$P,Manager_Reports!$A:$A,Dashboard!$B$2,Manager_Reports!$C:$C,$B8))</x:f>
      </x:c>
      <x:c r="Q8" s="5">
        <x:f>IF($A8="","",SUMIFS(Manager_Reports!$Q:$Q,Manager_Reports!$A:$A,Dashboard!$B$2,Manager_Reports!$C:$C,$B8))</x:f>
      </x:c>
    </x:row>
    <x:row r="9">
      <x:c r="A9" s="5">
        <x:f>Settings!A9</x:f>
        <x:v>0</x:v>
      </x:c>
      <x:c r="B9" s="5">
        <x:f>Settings!B9</x:f>
        <x:v>0</x:v>
      </x:c>
      <x:c r="C9" s="5">
        <x:f>Settings!C9</x:f>
        <x:v>0</x:v>
      </x:c>
      <x:c r="D9" s="5">
        <x:f>IF($A9="","",COUNTIFS(Manager_Reports!$A:$A,Dashboard!$B$2,Manager_Reports!$C:$C,$B9))</x:f>
      </x:c>
      <x:c r="E9" s="5">
        <x:f>IF($A9="","",IFERROR(LOOKUP(2,1/((Manager_Reports!$A:$A=Dashboard!$B$2)*(Manager_Reports!$C:$C=$B9)),Manager_Reports!$T:$T),""))</x:f>
      </x:c>
      <x:c r="F9" s="5">
        <x:f>IF($A9="","",SUMIFS(Manager_Reports!$F:$F,Manager_Reports!$A:$A,Dashboard!$B$2,Manager_Reports!$C:$C,$B9))</x:f>
      </x:c>
      <x:c r="G9" s="5">
        <x:f>IF($A9="","",SUMIFS(Manager_Reports!$G:$G,Manager_Reports!$A:$A,Dashboard!$B$2,Manager_Reports!$C:$C,$B9))</x:f>
      </x:c>
      <x:c r="H9" s="5">
        <x:f>IF($A9="","",SUMIFS(Manager_Reports!$H:$H,Manager_Reports!$A:$A,Dashboard!$B$2,Manager_Reports!$C:$C,$B9))</x:f>
      </x:c>
      <x:c r="I9" s="5">
        <x:f>IF($A9="","",SUMIFS(Manager_Reports!$I:$I,Manager_Reports!$A:$A,Dashboard!$B$2,Manager_Reports!$C:$C,$B9))</x:f>
      </x:c>
      <x:c r="J9" s="5">
        <x:f>IF($A9="","",SUMIFS(Manager_Reports!$J:$J,Manager_Reports!$A:$A,Dashboard!$B$2,Manager_Reports!$C:$C,$B9))</x:f>
      </x:c>
      <x:c r="K9" s="5">
        <x:f>IF($A9="","",SUMIFS(Manager_Reports!$K:$K,Manager_Reports!$A:$A,Dashboard!$B$2,Manager_Reports!$C:$C,$B9))</x:f>
      </x:c>
      <x:c r="L9" s="5">
        <x:f>IF($A9="","",SUMIFS(Manager_Reports!$L:$L,Manager_Reports!$A:$A,Dashboard!$B$2,Manager_Reports!$C:$C,$B9))</x:f>
      </x:c>
      <x:c r="M9" s="5">
        <x:f>IF($A9="","",SUMIFS(Manager_Reports!$M:$M,Manager_Reports!$A:$A,Dashboard!$B$2,Manager_Reports!$C:$C,$B9))</x:f>
      </x:c>
      <x:c r="N9" s="5">
        <x:f>IF($A9="","",SUMIFS(Manager_Reports!$N:$N,Manager_Reports!$A:$A,Dashboard!$B$2,Manager_Reports!$C:$C,$B9))</x:f>
      </x:c>
      <x:c r="O9" s="5">
        <x:f>IF($A9="","",SUMIFS(Manager_Reports!$O:$O,Manager_Reports!$A:$A,Dashboard!$B$2,Manager_Reports!$C:$C,$B9))</x:f>
      </x:c>
      <x:c r="P9" s="5">
        <x:f>IF($A9="","",SUMIFS(Manager_Reports!$P:$P,Manager_Reports!$A:$A,Dashboard!$B$2,Manager_Reports!$C:$C,$B9))</x:f>
      </x:c>
      <x:c r="Q9" s="5">
        <x:f>IF($A9="","",SUMIFS(Manager_Reports!$Q:$Q,Manager_Reports!$A:$A,Dashboard!$B$2,Manager_Reports!$C:$C,$B9))</x:f>
      </x:c>
    </x:row>
    <x:row r="10">
      <x:c r="A10" s="5">
        <x:f>Settings!A10</x:f>
        <x:v>0</x:v>
      </x:c>
      <x:c r="B10" s="5">
        <x:f>Settings!B10</x:f>
        <x:v>0</x:v>
      </x:c>
      <x:c r="C10" s="5">
        <x:f>Settings!C10</x:f>
        <x:v>0</x:v>
      </x:c>
      <x:c r="D10" s="5">
        <x:f>IF($A10="","",COUNTIFS(Manager_Reports!$A:$A,Dashboard!$B$2,Manager_Reports!$C:$C,$B10))</x:f>
      </x:c>
      <x:c r="E10" s="5">
        <x:f>IF($A10="","",IFERROR(LOOKUP(2,1/((Manager_Reports!$A:$A=Dashboard!$B$2)*(Manager_Reports!$C:$C=$B10)),Manager_Reports!$T:$T),""))</x:f>
      </x:c>
      <x:c r="F10" s="5">
        <x:f>IF($A10="","",SUMIFS(Manager_Reports!$F:$F,Manager_Reports!$A:$A,Dashboard!$B$2,Manager_Reports!$C:$C,$B10))</x:f>
      </x:c>
      <x:c r="G10" s="5">
        <x:f>IF($A10="","",SUMIFS(Manager_Reports!$G:$G,Manager_Reports!$A:$A,Dashboard!$B$2,Manager_Reports!$C:$C,$B10))</x:f>
      </x:c>
      <x:c r="H10" s="5">
        <x:f>IF($A10="","",SUMIFS(Manager_Reports!$H:$H,Manager_Reports!$A:$A,Dashboard!$B$2,Manager_Reports!$C:$C,$B10))</x:f>
      </x:c>
      <x:c r="I10" s="5">
        <x:f>IF($A10="","",SUMIFS(Manager_Reports!$I:$I,Manager_Reports!$A:$A,Dashboard!$B$2,Manager_Reports!$C:$C,$B10))</x:f>
      </x:c>
      <x:c r="J10" s="5">
        <x:f>IF($A10="","",SUMIFS(Manager_Reports!$J:$J,Manager_Reports!$A:$A,Dashboard!$B$2,Manager_Reports!$C:$C,$B10))</x:f>
      </x:c>
      <x:c r="K10" s="5">
        <x:f>IF($A10="","",SUMIFS(Manager_Reports!$K:$K,Manager_Reports!$A:$A,Dashboard!$B$2,Manager_Reports!$C:$C,$B10))</x:f>
      </x:c>
      <x:c r="L10" s="5">
        <x:f>IF($A10="","",SUMIFS(Manager_Reports!$L:$L,Manager_Reports!$A:$A,Dashboard!$B$2,Manager_Reports!$C:$C,$B10))</x:f>
      </x:c>
      <x:c r="M10" s="5">
        <x:f>IF($A10="","",SUMIFS(Manager_Reports!$M:$M,Manager_Reports!$A:$A,Dashboard!$B$2,Manager_Reports!$C:$C,$B10))</x:f>
      </x:c>
      <x:c r="N10" s="5">
        <x:f>IF($A10="","",SUMIFS(Manager_Reports!$N:$N,Manager_Reports!$A:$A,Dashboard!$B$2,Manager_Reports!$C:$C,$B10))</x:f>
      </x:c>
      <x:c r="O10" s="5">
        <x:f>IF($A10="","",SUMIFS(Manager_Reports!$O:$O,Manager_Reports!$A:$A,Dashboard!$B$2,Manager_Reports!$C:$C,$B10))</x:f>
      </x:c>
      <x:c r="P10" s="5">
        <x:f>IF($A10="","",SUMIFS(Manager_Reports!$P:$P,Manager_Reports!$A:$A,Dashboard!$B$2,Manager_Reports!$C:$C,$B10))</x:f>
      </x:c>
      <x:c r="Q10" s="5">
        <x:f>IF($A10="","",SUMIFS(Manager_Reports!$Q:$Q,Manager_Reports!$A:$A,Dashboard!$B$2,Manager_Reports!$C:$C,$B10))</x:f>
      </x:c>
    </x:row>
    <x:row r="11">
      <x:c r="A11" s="5">
        <x:f>Settings!A11</x:f>
        <x:v>0</x:v>
      </x:c>
      <x:c r="B11" s="5">
        <x:f>Settings!B11</x:f>
        <x:v>0</x:v>
      </x:c>
      <x:c r="C11" s="5">
        <x:f>Settings!C11</x:f>
        <x:v>0</x:v>
      </x:c>
      <x:c r="D11" s="5">
        <x:f>IF($A11="","",COUNTIFS(Manager_Reports!$A:$A,Dashboard!$B$2,Manager_Reports!$C:$C,$B11))</x:f>
      </x:c>
      <x:c r="E11" s="5">
        <x:f>IF($A11="","",IFERROR(LOOKUP(2,1/((Manager_Reports!$A:$A=Dashboard!$B$2)*(Manager_Reports!$C:$C=$B11)),Manager_Reports!$T:$T),""))</x:f>
      </x:c>
      <x:c r="F11" s="5">
        <x:f>IF($A11="","",SUMIFS(Manager_Reports!$F:$F,Manager_Reports!$A:$A,Dashboard!$B$2,Manager_Reports!$C:$C,$B11))</x:f>
      </x:c>
      <x:c r="G11" s="5">
        <x:f>IF($A11="","",SUMIFS(Manager_Reports!$G:$G,Manager_Reports!$A:$A,Dashboard!$B$2,Manager_Reports!$C:$C,$B11))</x:f>
      </x:c>
      <x:c r="H11" s="5">
        <x:f>IF($A11="","",SUMIFS(Manager_Reports!$H:$H,Manager_Reports!$A:$A,Dashboard!$B$2,Manager_Reports!$C:$C,$B11))</x:f>
      </x:c>
      <x:c r="I11" s="5">
        <x:f>IF($A11="","",SUMIFS(Manager_Reports!$I:$I,Manager_Reports!$A:$A,Dashboard!$B$2,Manager_Reports!$C:$C,$B11))</x:f>
      </x:c>
      <x:c r="J11" s="5">
        <x:f>IF($A11="","",SUMIFS(Manager_Reports!$J:$J,Manager_Reports!$A:$A,Dashboard!$B$2,Manager_Reports!$C:$C,$B11))</x:f>
      </x:c>
      <x:c r="K11" s="5">
        <x:f>IF($A11="","",SUMIFS(Manager_Reports!$K:$K,Manager_Reports!$A:$A,Dashboard!$B$2,Manager_Reports!$C:$C,$B11))</x:f>
      </x:c>
      <x:c r="L11" s="5">
        <x:f>IF($A11="","",SUMIFS(Manager_Reports!$L:$L,Manager_Reports!$A:$A,Dashboard!$B$2,Manager_Reports!$C:$C,$B11))</x:f>
      </x:c>
      <x:c r="M11" s="5">
        <x:f>IF($A11="","",SUMIFS(Manager_Reports!$M:$M,Manager_Reports!$A:$A,Dashboard!$B$2,Manager_Reports!$C:$C,$B11))</x:f>
      </x:c>
      <x:c r="N11" s="5">
        <x:f>IF($A11="","",SUMIFS(Manager_Reports!$N:$N,Manager_Reports!$A:$A,Dashboard!$B$2,Manager_Reports!$C:$C,$B11))</x:f>
      </x:c>
      <x:c r="O11" s="5">
        <x:f>IF($A11="","",SUMIFS(Manager_Reports!$O:$O,Manager_Reports!$A:$A,Dashboard!$B$2,Manager_Reports!$C:$C,$B11))</x:f>
      </x:c>
      <x:c r="P11" s="5">
        <x:f>IF($A11="","",SUMIFS(Manager_Reports!$P:$P,Manager_Reports!$A:$A,Dashboard!$B$2,Manager_Reports!$C:$C,$B11))</x:f>
      </x:c>
      <x:c r="Q11" s="5">
        <x:f>IF($A11="","",SUMIFS(Manager_Reports!$Q:$Q,Manager_Reports!$A:$A,Dashboard!$B$2,Manager_Reports!$C:$C,$B11))</x:f>
      </x:c>
    </x:row>
    <x:row r="12">
      <x:c r="A12" s="5">
        <x:f>Settings!A12</x:f>
        <x:v>0</x:v>
      </x:c>
      <x:c r="B12" s="5">
        <x:f>Settings!B12</x:f>
        <x:v>0</x:v>
      </x:c>
      <x:c r="C12" s="5">
        <x:f>Settings!C12</x:f>
        <x:v>0</x:v>
      </x:c>
      <x:c r="D12" s="5">
        <x:f>IF($A12="","",COUNTIFS(Manager_Reports!$A:$A,Dashboard!$B$2,Manager_Reports!$C:$C,$B12))</x:f>
      </x:c>
      <x:c r="E12" s="5">
        <x:f>IF($A12="","",IFERROR(LOOKUP(2,1/((Manager_Reports!$A:$A=Dashboard!$B$2)*(Manager_Reports!$C:$C=$B12)),Manager_Reports!$T:$T),""))</x:f>
      </x:c>
      <x:c r="F12" s="5">
        <x:f>IF($A12="","",SUMIFS(Manager_Reports!$F:$F,Manager_Reports!$A:$A,Dashboard!$B$2,Manager_Reports!$C:$C,$B12))</x:f>
      </x:c>
      <x:c r="G12" s="5">
        <x:f>IF($A12="","",SUMIFS(Manager_Reports!$G:$G,Manager_Reports!$A:$A,Dashboard!$B$2,Manager_Reports!$C:$C,$B12))</x:f>
      </x:c>
      <x:c r="H12" s="5">
        <x:f>IF($A12="","",SUMIFS(Manager_Reports!$H:$H,Manager_Reports!$A:$A,Dashboard!$B$2,Manager_Reports!$C:$C,$B12))</x:f>
      </x:c>
      <x:c r="I12" s="5">
        <x:f>IF($A12="","",SUMIFS(Manager_Reports!$I:$I,Manager_Reports!$A:$A,Dashboard!$B$2,Manager_Reports!$C:$C,$B12))</x:f>
      </x:c>
      <x:c r="J12" s="5">
        <x:f>IF($A12="","",SUMIFS(Manager_Reports!$J:$J,Manager_Reports!$A:$A,Dashboard!$B$2,Manager_Reports!$C:$C,$B12))</x:f>
      </x:c>
      <x:c r="K12" s="5">
        <x:f>IF($A12="","",SUMIFS(Manager_Reports!$K:$K,Manager_Reports!$A:$A,Dashboard!$B$2,Manager_Reports!$C:$C,$B12))</x:f>
      </x:c>
      <x:c r="L12" s="5">
        <x:f>IF($A12="","",SUMIFS(Manager_Reports!$L:$L,Manager_Reports!$A:$A,Dashboard!$B$2,Manager_Reports!$C:$C,$B12))</x:f>
      </x:c>
      <x:c r="M12" s="5">
        <x:f>IF($A12="","",SUMIFS(Manager_Reports!$M:$M,Manager_Reports!$A:$A,Dashboard!$B$2,Manager_Reports!$C:$C,$B12))</x:f>
      </x:c>
      <x:c r="N12" s="5">
        <x:f>IF($A12="","",SUMIFS(Manager_Reports!$N:$N,Manager_Reports!$A:$A,Dashboard!$B$2,Manager_Reports!$C:$C,$B12))</x:f>
      </x:c>
      <x:c r="O12" s="5">
        <x:f>IF($A12="","",SUMIFS(Manager_Reports!$O:$O,Manager_Reports!$A:$A,Dashboard!$B$2,Manager_Reports!$C:$C,$B12))</x:f>
      </x:c>
      <x:c r="P12" s="5">
        <x:f>IF($A12="","",SUMIFS(Manager_Reports!$P:$P,Manager_Reports!$A:$A,Dashboard!$B$2,Manager_Reports!$C:$C,$B12))</x:f>
      </x:c>
      <x:c r="Q12" s="5">
        <x:f>IF($A12="","",SUMIFS(Manager_Reports!$Q:$Q,Manager_Reports!$A:$A,Dashboard!$B$2,Manager_Reports!$C:$C,$B12))</x:f>
      </x:c>
    </x:row>
    <x:row r="13">
      <x:c r="A13" s="5">
        <x:f>Settings!A13</x:f>
        <x:v>0</x:v>
      </x:c>
      <x:c r="B13" s="5">
        <x:f>Settings!B13</x:f>
        <x:v>0</x:v>
      </x:c>
      <x:c r="C13" s="5">
        <x:f>Settings!C13</x:f>
        <x:v>0</x:v>
      </x:c>
      <x:c r="D13" s="5">
        <x:f>IF($A13="","",COUNTIFS(Manager_Reports!$A:$A,Dashboard!$B$2,Manager_Reports!$C:$C,$B13))</x:f>
      </x:c>
      <x:c r="E13" s="5">
        <x:f>IF($A13="","",IFERROR(LOOKUP(2,1/((Manager_Reports!$A:$A=Dashboard!$B$2)*(Manager_Reports!$C:$C=$B13)),Manager_Reports!$T:$T),""))</x:f>
      </x:c>
      <x:c r="F13" s="5">
        <x:f>IF($A13="","",SUMIFS(Manager_Reports!$F:$F,Manager_Reports!$A:$A,Dashboard!$B$2,Manager_Reports!$C:$C,$B13))</x:f>
      </x:c>
      <x:c r="G13" s="5">
        <x:f>IF($A13="","",SUMIFS(Manager_Reports!$G:$G,Manager_Reports!$A:$A,Dashboard!$B$2,Manager_Reports!$C:$C,$B13))</x:f>
      </x:c>
      <x:c r="H13" s="5">
        <x:f>IF($A13="","",SUMIFS(Manager_Reports!$H:$H,Manager_Reports!$A:$A,Dashboard!$B$2,Manager_Reports!$C:$C,$B13))</x:f>
      </x:c>
      <x:c r="I13" s="5">
        <x:f>IF($A13="","",SUMIFS(Manager_Reports!$I:$I,Manager_Reports!$A:$A,Dashboard!$B$2,Manager_Reports!$C:$C,$B13))</x:f>
      </x:c>
      <x:c r="J13" s="5">
        <x:f>IF($A13="","",SUMIFS(Manager_Reports!$J:$J,Manager_Reports!$A:$A,Dashboard!$B$2,Manager_Reports!$C:$C,$B13))</x:f>
      </x:c>
      <x:c r="K13" s="5">
        <x:f>IF($A13="","",SUMIFS(Manager_Reports!$K:$K,Manager_Reports!$A:$A,Dashboard!$B$2,Manager_Reports!$C:$C,$B13))</x:f>
      </x:c>
      <x:c r="L13" s="5">
        <x:f>IF($A13="","",SUMIFS(Manager_Reports!$L:$L,Manager_Reports!$A:$A,Dashboard!$B$2,Manager_Reports!$C:$C,$B13))</x:f>
      </x:c>
      <x:c r="M13" s="5">
        <x:f>IF($A13="","",SUMIFS(Manager_Reports!$M:$M,Manager_Reports!$A:$A,Dashboard!$B$2,Manager_Reports!$C:$C,$B13))</x:f>
      </x:c>
      <x:c r="N13" s="5">
        <x:f>IF($A13="","",SUMIFS(Manager_Reports!$N:$N,Manager_Reports!$A:$A,Dashboard!$B$2,Manager_Reports!$C:$C,$B13))</x:f>
      </x:c>
      <x:c r="O13" s="5">
        <x:f>IF($A13="","",SUMIFS(Manager_Reports!$O:$O,Manager_Reports!$A:$A,Dashboard!$B$2,Manager_Reports!$C:$C,$B13))</x:f>
      </x:c>
      <x:c r="P13" s="5">
        <x:f>IF($A13="","",SUMIFS(Manager_Reports!$P:$P,Manager_Reports!$A:$A,Dashboard!$B$2,Manager_Reports!$C:$C,$B13))</x:f>
      </x:c>
      <x:c r="Q13" s="5">
        <x:f>IF($A13="","",SUMIFS(Manager_Reports!$Q:$Q,Manager_Reports!$A:$A,Dashboard!$B$2,Manager_Reports!$C:$C,$B13))</x:f>
      </x:c>
    </x:row>
    <x:row r="14">
      <x:c r="A14" s="5">
        <x:f>Settings!A14</x:f>
        <x:v>0</x:v>
      </x:c>
      <x:c r="B14" s="5">
        <x:f>Settings!B14</x:f>
        <x:v>0</x:v>
      </x:c>
      <x:c r="C14" s="5">
        <x:f>Settings!C14</x:f>
        <x:v>0</x:v>
      </x:c>
      <x:c r="D14" s="5">
        <x:f>IF($A14="","",COUNTIFS(Manager_Reports!$A:$A,Dashboard!$B$2,Manager_Reports!$C:$C,$B14))</x:f>
      </x:c>
      <x:c r="E14" s="5">
        <x:f>IF($A14="","",IFERROR(LOOKUP(2,1/((Manager_Reports!$A:$A=Dashboard!$B$2)*(Manager_Reports!$C:$C=$B14)),Manager_Reports!$T:$T),""))</x:f>
      </x:c>
      <x:c r="F14" s="5">
        <x:f>IF($A14="","",SUMIFS(Manager_Reports!$F:$F,Manager_Reports!$A:$A,Dashboard!$B$2,Manager_Reports!$C:$C,$B14))</x:f>
      </x:c>
      <x:c r="G14" s="5">
        <x:f>IF($A14="","",SUMIFS(Manager_Reports!$G:$G,Manager_Reports!$A:$A,Dashboard!$B$2,Manager_Reports!$C:$C,$B14))</x:f>
      </x:c>
      <x:c r="H14" s="5">
        <x:f>IF($A14="","",SUMIFS(Manager_Reports!$H:$H,Manager_Reports!$A:$A,Dashboard!$B$2,Manager_Reports!$C:$C,$B14))</x:f>
      </x:c>
      <x:c r="I14" s="5">
        <x:f>IF($A14="","",SUMIFS(Manager_Reports!$I:$I,Manager_Reports!$A:$A,Dashboard!$B$2,Manager_Reports!$C:$C,$B14))</x:f>
      </x:c>
      <x:c r="J14" s="5">
        <x:f>IF($A14="","",SUMIFS(Manager_Reports!$J:$J,Manager_Reports!$A:$A,Dashboard!$B$2,Manager_Reports!$C:$C,$B14))</x:f>
      </x:c>
      <x:c r="K14" s="5">
        <x:f>IF($A14="","",SUMIFS(Manager_Reports!$K:$K,Manager_Reports!$A:$A,Dashboard!$B$2,Manager_Reports!$C:$C,$B14))</x:f>
      </x:c>
      <x:c r="L14" s="5">
        <x:f>IF($A14="","",SUMIFS(Manager_Reports!$L:$L,Manager_Reports!$A:$A,Dashboard!$B$2,Manager_Reports!$C:$C,$B14))</x:f>
      </x:c>
      <x:c r="M14" s="5">
        <x:f>IF($A14="","",SUMIFS(Manager_Reports!$M:$M,Manager_Reports!$A:$A,Dashboard!$B$2,Manager_Reports!$C:$C,$B14))</x:f>
      </x:c>
      <x:c r="N14" s="5">
        <x:f>IF($A14="","",SUMIFS(Manager_Reports!$N:$N,Manager_Reports!$A:$A,Dashboard!$B$2,Manager_Reports!$C:$C,$B14))</x:f>
      </x:c>
      <x:c r="O14" s="5">
        <x:f>IF($A14="","",SUMIFS(Manager_Reports!$O:$O,Manager_Reports!$A:$A,Dashboard!$B$2,Manager_Reports!$C:$C,$B14))</x:f>
      </x:c>
      <x:c r="P14" s="5">
        <x:f>IF($A14="","",SUMIFS(Manager_Reports!$P:$P,Manager_Reports!$A:$A,Dashboard!$B$2,Manager_Reports!$C:$C,$B14))</x:f>
      </x:c>
      <x:c r="Q14" s="5">
        <x:f>IF($A14="","",SUMIFS(Manager_Reports!$Q:$Q,Manager_Reports!$A:$A,Dashboard!$B$2,Manager_Reports!$C:$C,$B14))</x:f>
      </x:c>
    </x:row>
    <x:row r="15">
      <x:c r="A15" s="5">
        <x:f>Settings!A15</x:f>
        <x:v>0</x:v>
      </x:c>
      <x:c r="B15" s="5">
        <x:f>Settings!B15</x:f>
        <x:v>0</x:v>
      </x:c>
      <x:c r="C15" s="5">
        <x:f>Settings!C15</x:f>
        <x:v>0</x:v>
      </x:c>
      <x:c r="D15" s="5">
        <x:f>IF($A15="","",COUNTIFS(Manager_Reports!$A:$A,Dashboard!$B$2,Manager_Reports!$C:$C,$B15))</x:f>
      </x:c>
      <x:c r="E15" s="5">
        <x:f>IF($A15="","",IFERROR(LOOKUP(2,1/((Manager_Reports!$A:$A=Dashboard!$B$2)*(Manager_Reports!$C:$C=$B15)),Manager_Reports!$T:$T),""))</x:f>
      </x:c>
      <x:c r="F15" s="5">
        <x:f>IF($A15="","",SUMIFS(Manager_Reports!$F:$F,Manager_Reports!$A:$A,Dashboard!$B$2,Manager_Reports!$C:$C,$B15))</x:f>
      </x:c>
      <x:c r="G15" s="5">
        <x:f>IF($A15="","",SUMIFS(Manager_Reports!$G:$G,Manager_Reports!$A:$A,Dashboard!$B$2,Manager_Reports!$C:$C,$B15))</x:f>
      </x:c>
      <x:c r="H15" s="5">
        <x:f>IF($A15="","",SUMIFS(Manager_Reports!$H:$H,Manager_Reports!$A:$A,Dashboard!$B$2,Manager_Reports!$C:$C,$B15))</x:f>
      </x:c>
      <x:c r="I15" s="5">
        <x:f>IF($A15="","",SUMIFS(Manager_Reports!$I:$I,Manager_Reports!$A:$A,Dashboard!$B$2,Manager_Reports!$C:$C,$B15))</x:f>
      </x:c>
      <x:c r="J15" s="5">
        <x:f>IF($A15="","",SUMIFS(Manager_Reports!$J:$J,Manager_Reports!$A:$A,Dashboard!$B$2,Manager_Reports!$C:$C,$B15))</x:f>
      </x:c>
      <x:c r="K15" s="5">
        <x:f>IF($A15="","",SUMIFS(Manager_Reports!$K:$K,Manager_Reports!$A:$A,Dashboard!$B$2,Manager_Reports!$C:$C,$B15))</x:f>
      </x:c>
      <x:c r="L15" s="5">
        <x:f>IF($A15="","",SUMIFS(Manager_Reports!$L:$L,Manager_Reports!$A:$A,Dashboard!$B$2,Manager_Reports!$C:$C,$B15))</x:f>
      </x:c>
      <x:c r="M15" s="5">
        <x:f>IF($A15="","",SUMIFS(Manager_Reports!$M:$M,Manager_Reports!$A:$A,Dashboard!$B$2,Manager_Reports!$C:$C,$B15))</x:f>
      </x:c>
      <x:c r="N15" s="5">
        <x:f>IF($A15="","",SUMIFS(Manager_Reports!$N:$N,Manager_Reports!$A:$A,Dashboard!$B$2,Manager_Reports!$C:$C,$B15))</x:f>
      </x:c>
      <x:c r="O15" s="5">
        <x:f>IF($A15="","",SUMIFS(Manager_Reports!$O:$O,Manager_Reports!$A:$A,Dashboard!$B$2,Manager_Reports!$C:$C,$B15))</x:f>
      </x:c>
      <x:c r="P15" s="5">
        <x:f>IF($A15="","",SUMIFS(Manager_Reports!$P:$P,Manager_Reports!$A:$A,Dashboard!$B$2,Manager_Reports!$C:$C,$B15))</x:f>
      </x:c>
      <x:c r="Q15" s="5">
        <x:f>IF($A15="","",SUMIFS(Manager_Reports!$Q:$Q,Manager_Reports!$A:$A,Dashboard!$B$2,Manager_Reports!$C:$C,$B15))</x:f>
      </x:c>
    </x:row>
    <x:row r="16">
      <x:c r="A16" s="5">
        <x:f>Settings!A16</x:f>
        <x:v>0</x:v>
      </x:c>
      <x:c r="B16" s="5">
        <x:f>Settings!B16</x:f>
        <x:v>0</x:v>
      </x:c>
      <x:c r="C16" s="5">
        <x:f>Settings!C16</x:f>
        <x:v>0</x:v>
      </x:c>
      <x:c r="D16" s="5">
        <x:f>IF($A16="","",COUNTIFS(Manager_Reports!$A:$A,Dashboard!$B$2,Manager_Reports!$C:$C,$B16))</x:f>
      </x:c>
      <x:c r="E16" s="5">
        <x:f>IF($A16="","",IFERROR(LOOKUP(2,1/((Manager_Reports!$A:$A=Dashboard!$B$2)*(Manager_Reports!$C:$C=$B16)),Manager_Reports!$T:$T),""))</x:f>
      </x:c>
      <x:c r="F16" s="5">
        <x:f>IF($A16="","",SUMIFS(Manager_Reports!$F:$F,Manager_Reports!$A:$A,Dashboard!$B$2,Manager_Reports!$C:$C,$B16))</x:f>
      </x:c>
      <x:c r="G16" s="5">
        <x:f>IF($A16="","",SUMIFS(Manager_Reports!$G:$G,Manager_Reports!$A:$A,Dashboard!$B$2,Manager_Reports!$C:$C,$B16))</x:f>
      </x:c>
      <x:c r="H16" s="5">
        <x:f>IF($A16="","",SUMIFS(Manager_Reports!$H:$H,Manager_Reports!$A:$A,Dashboard!$B$2,Manager_Reports!$C:$C,$B16))</x:f>
      </x:c>
      <x:c r="I16" s="5">
        <x:f>IF($A16="","",SUMIFS(Manager_Reports!$I:$I,Manager_Reports!$A:$A,Dashboard!$B$2,Manager_Reports!$C:$C,$B16))</x:f>
      </x:c>
      <x:c r="J16" s="5">
        <x:f>IF($A16="","",SUMIFS(Manager_Reports!$J:$J,Manager_Reports!$A:$A,Dashboard!$B$2,Manager_Reports!$C:$C,$B16))</x:f>
      </x:c>
      <x:c r="K16" s="5">
        <x:f>IF($A16="","",SUMIFS(Manager_Reports!$K:$K,Manager_Reports!$A:$A,Dashboard!$B$2,Manager_Reports!$C:$C,$B16))</x:f>
      </x:c>
      <x:c r="L16" s="5">
        <x:f>IF($A16="","",SUMIFS(Manager_Reports!$L:$L,Manager_Reports!$A:$A,Dashboard!$B$2,Manager_Reports!$C:$C,$B16))</x:f>
      </x:c>
      <x:c r="M16" s="5">
        <x:f>IF($A16="","",SUMIFS(Manager_Reports!$M:$M,Manager_Reports!$A:$A,Dashboard!$B$2,Manager_Reports!$C:$C,$B16))</x:f>
      </x:c>
      <x:c r="N16" s="5">
        <x:f>IF($A16="","",SUMIFS(Manager_Reports!$N:$N,Manager_Reports!$A:$A,Dashboard!$B$2,Manager_Reports!$C:$C,$B16))</x:f>
      </x:c>
      <x:c r="O16" s="5">
        <x:f>IF($A16="","",SUMIFS(Manager_Reports!$O:$O,Manager_Reports!$A:$A,Dashboard!$B$2,Manager_Reports!$C:$C,$B16))</x:f>
      </x:c>
      <x:c r="P16" s="5">
        <x:f>IF($A16="","",SUMIFS(Manager_Reports!$P:$P,Manager_Reports!$A:$A,Dashboard!$B$2,Manager_Reports!$C:$C,$B16))</x:f>
      </x:c>
      <x:c r="Q16" s="5">
        <x:f>IF($A16="","",SUMIFS(Manager_Reports!$Q:$Q,Manager_Reports!$A:$A,Dashboard!$B$2,Manager_Reports!$C:$C,$B16))</x:f>
      </x:c>
    </x:row>
    <x:row r="17">
      <x:c r="A17" s="5">
        <x:f>Settings!A17</x:f>
        <x:v>0</x:v>
      </x:c>
      <x:c r="B17" s="5">
        <x:f>Settings!B17</x:f>
        <x:v>0</x:v>
      </x:c>
      <x:c r="C17" s="5">
        <x:f>Settings!C17</x:f>
        <x:v>0</x:v>
      </x:c>
      <x:c r="D17" s="5">
        <x:f>IF($A17="","",COUNTIFS(Manager_Reports!$A:$A,Dashboard!$B$2,Manager_Reports!$C:$C,$B17))</x:f>
      </x:c>
      <x:c r="E17" s="5">
        <x:f>IF($A17="","",IFERROR(LOOKUP(2,1/((Manager_Reports!$A:$A=Dashboard!$B$2)*(Manager_Reports!$C:$C=$B17)),Manager_Reports!$T:$T),""))</x:f>
      </x:c>
      <x:c r="F17" s="5">
        <x:f>IF($A17="","",SUMIFS(Manager_Reports!$F:$F,Manager_Reports!$A:$A,Dashboard!$B$2,Manager_Reports!$C:$C,$B17))</x:f>
      </x:c>
      <x:c r="G17" s="5">
        <x:f>IF($A17="","",SUMIFS(Manager_Reports!$G:$G,Manager_Reports!$A:$A,Dashboard!$B$2,Manager_Reports!$C:$C,$B17))</x:f>
      </x:c>
      <x:c r="H17" s="5">
        <x:f>IF($A17="","",SUMIFS(Manager_Reports!$H:$H,Manager_Reports!$A:$A,Dashboard!$B$2,Manager_Reports!$C:$C,$B17))</x:f>
      </x:c>
      <x:c r="I17" s="5">
        <x:f>IF($A17="","",SUMIFS(Manager_Reports!$I:$I,Manager_Reports!$A:$A,Dashboard!$B$2,Manager_Reports!$C:$C,$B17))</x:f>
      </x:c>
      <x:c r="J17" s="5">
        <x:f>IF($A17="","",SUMIFS(Manager_Reports!$J:$J,Manager_Reports!$A:$A,Dashboard!$B$2,Manager_Reports!$C:$C,$B17))</x:f>
      </x:c>
      <x:c r="K17" s="5">
        <x:f>IF($A17="","",SUMIFS(Manager_Reports!$K:$K,Manager_Reports!$A:$A,Dashboard!$B$2,Manager_Reports!$C:$C,$B17))</x:f>
      </x:c>
      <x:c r="L17" s="5">
        <x:f>IF($A17="","",SUMIFS(Manager_Reports!$L:$L,Manager_Reports!$A:$A,Dashboard!$B$2,Manager_Reports!$C:$C,$B17))</x:f>
      </x:c>
      <x:c r="M17" s="5">
        <x:f>IF($A17="","",SUMIFS(Manager_Reports!$M:$M,Manager_Reports!$A:$A,Dashboard!$B$2,Manager_Reports!$C:$C,$B17))</x:f>
      </x:c>
      <x:c r="N17" s="5">
        <x:f>IF($A17="","",SUMIFS(Manager_Reports!$N:$N,Manager_Reports!$A:$A,Dashboard!$B$2,Manager_Reports!$C:$C,$B17))</x:f>
      </x:c>
      <x:c r="O17" s="5">
        <x:f>IF($A17="","",SUMIFS(Manager_Reports!$O:$O,Manager_Reports!$A:$A,Dashboard!$B$2,Manager_Reports!$C:$C,$B17))</x:f>
      </x:c>
      <x:c r="P17" s="5">
        <x:f>IF($A17="","",SUMIFS(Manager_Reports!$P:$P,Manager_Reports!$A:$A,Dashboard!$B$2,Manager_Reports!$C:$C,$B17))</x:f>
      </x:c>
      <x:c r="Q17" s="5">
        <x:f>IF($A17="","",SUMIFS(Manager_Reports!$Q:$Q,Manager_Reports!$A:$A,Dashboard!$B$2,Manager_Reports!$C:$C,$B17))</x:f>
      </x:c>
    </x:row>
    <x:row r="18">
      <x:c r="A18" s="5">
        <x:f>Settings!A18</x:f>
        <x:v>0</x:v>
      </x:c>
      <x:c r="B18" s="5">
        <x:f>Settings!B18</x:f>
        <x:v>0</x:v>
      </x:c>
      <x:c r="C18" s="5">
        <x:f>Settings!C18</x:f>
        <x:v>0</x:v>
      </x:c>
      <x:c r="D18" s="5">
        <x:f>IF($A18="","",COUNTIFS(Manager_Reports!$A:$A,Dashboard!$B$2,Manager_Reports!$C:$C,$B18))</x:f>
      </x:c>
      <x:c r="E18" s="5">
        <x:f>IF($A18="","",IFERROR(LOOKUP(2,1/((Manager_Reports!$A:$A=Dashboard!$B$2)*(Manager_Reports!$C:$C=$B18)),Manager_Reports!$T:$T),""))</x:f>
      </x:c>
      <x:c r="F18" s="5">
        <x:f>IF($A18="","",SUMIFS(Manager_Reports!$F:$F,Manager_Reports!$A:$A,Dashboard!$B$2,Manager_Reports!$C:$C,$B18))</x:f>
      </x:c>
      <x:c r="G18" s="5">
        <x:f>IF($A18="","",SUMIFS(Manager_Reports!$G:$G,Manager_Reports!$A:$A,Dashboard!$B$2,Manager_Reports!$C:$C,$B18))</x:f>
      </x:c>
      <x:c r="H18" s="5">
        <x:f>IF($A18="","",SUMIFS(Manager_Reports!$H:$H,Manager_Reports!$A:$A,Dashboard!$B$2,Manager_Reports!$C:$C,$B18))</x:f>
      </x:c>
      <x:c r="I18" s="5">
        <x:f>IF($A18="","",SUMIFS(Manager_Reports!$I:$I,Manager_Reports!$A:$A,Dashboard!$B$2,Manager_Reports!$C:$C,$B18))</x:f>
      </x:c>
      <x:c r="J18" s="5">
        <x:f>IF($A18="","",SUMIFS(Manager_Reports!$J:$J,Manager_Reports!$A:$A,Dashboard!$B$2,Manager_Reports!$C:$C,$B18))</x:f>
      </x:c>
      <x:c r="K18" s="5">
        <x:f>IF($A18="","",SUMIFS(Manager_Reports!$K:$K,Manager_Reports!$A:$A,Dashboard!$B$2,Manager_Reports!$C:$C,$B18))</x:f>
      </x:c>
      <x:c r="L18" s="5">
        <x:f>IF($A18="","",SUMIFS(Manager_Reports!$L:$L,Manager_Reports!$A:$A,Dashboard!$B$2,Manager_Reports!$C:$C,$B18))</x:f>
      </x:c>
      <x:c r="M18" s="5">
        <x:f>IF($A18="","",SUMIFS(Manager_Reports!$M:$M,Manager_Reports!$A:$A,Dashboard!$B$2,Manager_Reports!$C:$C,$B18))</x:f>
      </x:c>
      <x:c r="N18" s="5">
        <x:f>IF($A18="","",SUMIFS(Manager_Reports!$N:$N,Manager_Reports!$A:$A,Dashboard!$B$2,Manager_Reports!$C:$C,$B18))</x:f>
      </x:c>
      <x:c r="O18" s="5">
        <x:f>IF($A18="","",SUMIFS(Manager_Reports!$O:$O,Manager_Reports!$A:$A,Dashboard!$B$2,Manager_Reports!$C:$C,$B18))</x:f>
      </x:c>
      <x:c r="P18" s="5">
        <x:f>IF($A18="","",SUMIFS(Manager_Reports!$P:$P,Manager_Reports!$A:$A,Dashboard!$B$2,Manager_Reports!$C:$C,$B18))</x:f>
      </x:c>
      <x:c r="Q18" s="5">
        <x:f>IF($A18="","",SUMIFS(Manager_Reports!$Q:$Q,Manager_Reports!$A:$A,Dashboard!$B$2,Manager_Reports!$C:$C,$B18))</x:f>
      </x:c>
    </x:row>
    <x:row r="19">
      <x:c r="A19" s="5">
        <x:f>Settings!A19</x:f>
        <x:v>0</x:v>
      </x:c>
      <x:c r="B19" s="5">
        <x:f>Settings!B19</x:f>
        <x:v>0</x:v>
      </x:c>
      <x:c r="C19" s="5">
        <x:f>Settings!C19</x:f>
        <x:v>0</x:v>
      </x:c>
      <x:c r="D19" s="5">
        <x:f>IF($A19="","",COUNTIFS(Manager_Reports!$A:$A,Dashboard!$B$2,Manager_Reports!$C:$C,$B19))</x:f>
      </x:c>
      <x:c r="E19" s="5">
        <x:f>IF($A19="","",IFERROR(LOOKUP(2,1/((Manager_Reports!$A:$A=Dashboard!$B$2)*(Manager_Reports!$C:$C=$B19)),Manager_Reports!$T:$T),""))</x:f>
      </x:c>
      <x:c r="F19" s="5">
        <x:f>IF($A19="","",SUMIFS(Manager_Reports!$F:$F,Manager_Reports!$A:$A,Dashboard!$B$2,Manager_Reports!$C:$C,$B19))</x:f>
      </x:c>
      <x:c r="G19" s="5">
        <x:f>IF($A19="","",SUMIFS(Manager_Reports!$G:$G,Manager_Reports!$A:$A,Dashboard!$B$2,Manager_Reports!$C:$C,$B19))</x:f>
      </x:c>
      <x:c r="H19" s="5">
        <x:f>IF($A19="","",SUMIFS(Manager_Reports!$H:$H,Manager_Reports!$A:$A,Dashboard!$B$2,Manager_Reports!$C:$C,$B19))</x:f>
      </x:c>
      <x:c r="I19" s="5">
        <x:f>IF($A19="","",SUMIFS(Manager_Reports!$I:$I,Manager_Reports!$A:$A,Dashboard!$B$2,Manager_Reports!$C:$C,$B19))</x:f>
      </x:c>
      <x:c r="J19" s="5">
        <x:f>IF($A19="","",SUMIFS(Manager_Reports!$J:$J,Manager_Reports!$A:$A,Dashboard!$B$2,Manager_Reports!$C:$C,$B19))</x:f>
      </x:c>
      <x:c r="K19" s="5">
        <x:f>IF($A19="","",SUMIFS(Manager_Reports!$K:$K,Manager_Reports!$A:$A,Dashboard!$B$2,Manager_Reports!$C:$C,$B19))</x:f>
      </x:c>
      <x:c r="L19" s="5">
        <x:f>IF($A19="","",SUMIFS(Manager_Reports!$L:$L,Manager_Reports!$A:$A,Dashboard!$B$2,Manager_Reports!$C:$C,$B19))</x:f>
      </x:c>
      <x:c r="M19" s="5">
        <x:f>IF($A19="","",SUMIFS(Manager_Reports!$M:$M,Manager_Reports!$A:$A,Dashboard!$B$2,Manager_Reports!$C:$C,$B19))</x:f>
      </x:c>
      <x:c r="N19" s="5">
        <x:f>IF($A19="","",SUMIFS(Manager_Reports!$N:$N,Manager_Reports!$A:$A,Dashboard!$B$2,Manager_Reports!$C:$C,$B19))</x:f>
      </x:c>
      <x:c r="O19" s="5">
        <x:f>IF($A19="","",SUMIFS(Manager_Reports!$O:$O,Manager_Reports!$A:$A,Dashboard!$B$2,Manager_Reports!$C:$C,$B19))</x:f>
      </x:c>
      <x:c r="P19" s="5">
        <x:f>IF($A19="","",SUMIFS(Manager_Reports!$P:$P,Manager_Reports!$A:$A,Dashboard!$B$2,Manager_Reports!$C:$C,$B19))</x:f>
      </x:c>
      <x:c r="Q19" s="5">
        <x:f>IF($A19="","",SUMIFS(Manager_Reports!$Q:$Q,Manager_Reports!$A:$A,Dashboard!$B$2,Manager_Reports!$C:$C,$B19))</x:f>
      </x:c>
    </x:row>
    <x:row r="20">
      <x:c r="A20" s="5">
        <x:f>Settings!A20</x:f>
        <x:v>0</x:v>
      </x:c>
      <x:c r="B20" s="5">
        <x:f>Settings!B20</x:f>
        <x:v>0</x:v>
      </x:c>
      <x:c r="C20" s="5">
        <x:f>Settings!C20</x:f>
        <x:v>0</x:v>
      </x:c>
      <x:c r="D20" s="5">
        <x:f>IF($A20="","",COUNTIFS(Manager_Reports!$A:$A,Dashboard!$B$2,Manager_Reports!$C:$C,$B20))</x:f>
      </x:c>
      <x:c r="E20" s="5">
        <x:f>IF($A20="","",IFERROR(LOOKUP(2,1/((Manager_Reports!$A:$A=Dashboard!$B$2)*(Manager_Reports!$C:$C=$B20)),Manager_Reports!$T:$T),""))</x:f>
      </x:c>
      <x:c r="F20" s="5">
        <x:f>IF($A20="","",SUMIFS(Manager_Reports!$F:$F,Manager_Reports!$A:$A,Dashboard!$B$2,Manager_Reports!$C:$C,$B20))</x:f>
      </x:c>
      <x:c r="G20" s="5">
        <x:f>IF($A20="","",SUMIFS(Manager_Reports!$G:$G,Manager_Reports!$A:$A,Dashboard!$B$2,Manager_Reports!$C:$C,$B20))</x:f>
      </x:c>
      <x:c r="H20" s="5">
        <x:f>IF($A20="","",SUMIFS(Manager_Reports!$H:$H,Manager_Reports!$A:$A,Dashboard!$B$2,Manager_Reports!$C:$C,$B20))</x:f>
      </x:c>
      <x:c r="I20" s="5">
        <x:f>IF($A20="","",SUMIFS(Manager_Reports!$I:$I,Manager_Reports!$A:$A,Dashboard!$B$2,Manager_Reports!$C:$C,$B20))</x:f>
      </x:c>
      <x:c r="J20" s="5">
        <x:f>IF($A20="","",SUMIFS(Manager_Reports!$J:$J,Manager_Reports!$A:$A,Dashboard!$B$2,Manager_Reports!$C:$C,$B20))</x:f>
      </x:c>
      <x:c r="K20" s="5">
        <x:f>IF($A20="","",SUMIFS(Manager_Reports!$K:$K,Manager_Reports!$A:$A,Dashboard!$B$2,Manager_Reports!$C:$C,$B20))</x:f>
      </x:c>
      <x:c r="L20" s="5">
        <x:f>IF($A20="","",SUMIFS(Manager_Reports!$L:$L,Manager_Reports!$A:$A,Dashboard!$B$2,Manager_Reports!$C:$C,$B20))</x:f>
      </x:c>
      <x:c r="M20" s="5">
        <x:f>IF($A20="","",SUMIFS(Manager_Reports!$M:$M,Manager_Reports!$A:$A,Dashboard!$B$2,Manager_Reports!$C:$C,$B20))</x:f>
      </x:c>
      <x:c r="N20" s="5">
        <x:f>IF($A20="","",SUMIFS(Manager_Reports!$N:$N,Manager_Reports!$A:$A,Dashboard!$B$2,Manager_Reports!$C:$C,$B20))</x:f>
      </x:c>
      <x:c r="O20" s="5">
        <x:f>IF($A20="","",SUMIFS(Manager_Reports!$O:$O,Manager_Reports!$A:$A,Dashboard!$B$2,Manager_Reports!$C:$C,$B20))</x:f>
      </x:c>
      <x:c r="P20" s="5">
        <x:f>IF($A20="","",SUMIFS(Manager_Reports!$P:$P,Manager_Reports!$A:$A,Dashboard!$B$2,Manager_Reports!$C:$C,$B20))</x:f>
      </x:c>
      <x:c r="Q20" s="5">
        <x:f>IF($A20="","",SUMIFS(Manager_Reports!$Q:$Q,Manager_Reports!$A:$A,Dashboard!$B$2,Manager_Reports!$C:$C,$B20))</x:f>
      </x:c>
    </x:row>
    <x:row r="21">
      <x:c r="A21" s="5">
        <x:f>Settings!A21</x:f>
        <x:v>0</x:v>
      </x:c>
      <x:c r="B21" s="5">
        <x:f>Settings!B21</x:f>
        <x:v>0</x:v>
      </x:c>
      <x:c r="C21" s="5">
        <x:f>Settings!C21</x:f>
        <x:v>0</x:v>
      </x:c>
      <x:c r="D21" s="5">
        <x:f>IF($A21="","",COUNTIFS(Manager_Reports!$A:$A,Dashboard!$B$2,Manager_Reports!$C:$C,$B21))</x:f>
      </x:c>
      <x:c r="E21" s="5">
        <x:f>IF($A21="","",IFERROR(LOOKUP(2,1/((Manager_Reports!$A:$A=Dashboard!$B$2)*(Manager_Reports!$C:$C=$B21)),Manager_Reports!$T:$T),""))</x:f>
      </x:c>
      <x:c r="F21" s="5">
        <x:f>IF($A21="","",SUMIFS(Manager_Reports!$F:$F,Manager_Reports!$A:$A,Dashboard!$B$2,Manager_Reports!$C:$C,$B21))</x:f>
      </x:c>
      <x:c r="G21" s="5">
        <x:f>IF($A21="","",SUMIFS(Manager_Reports!$G:$G,Manager_Reports!$A:$A,Dashboard!$B$2,Manager_Reports!$C:$C,$B21))</x:f>
      </x:c>
      <x:c r="H21" s="5">
        <x:f>IF($A21="","",SUMIFS(Manager_Reports!$H:$H,Manager_Reports!$A:$A,Dashboard!$B$2,Manager_Reports!$C:$C,$B21))</x:f>
      </x:c>
      <x:c r="I21" s="5">
        <x:f>IF($A21="","",SUMIFS(Manager_Reports!$I:$I,Manager_Reports!$A:$A,Dashboard!$B$2,Manager_Reports!$C:$C,$B21))</x:f>
      </x:c>
      <x:c r="J21" s="5">
        <x:f>IF($A21="","",SUMIFS(Manager_Reports!$J:$J,Manager_Reports!$A:$A,Dashboard!$B$2,Manager_Reports!$C:$C,$B21))</x:f>
      </x:c>
      <x:c r="K21" s="5">
        <x:f>IF($A21="","",SUMIFS(Manager_Reports!$K:$K,Manager_Reports!$A:$A,Dashboard!$B$2,Manager_Reports!$C:$C,$B21))</x:f>
      </x:c>
      <x:c r="L21" s="5">
        <x:f>IF($A21="","",SUMIFS(Manager_Reports!$L:$L,Manager_Reports!$A:$A,Dashboard!$B$2,Manager_Reports!$C:$C,$B21))</x:f>
      </x:c>
      <x:c r="M21" s="5">
        <x:f>IF($A21="","",SUMIFS(Manager_Reports!$M:$M,Manager_Reports!$A:$A,Dashboard!$B$2,Manager_Reports!$C:$C,$B21))</x:f>
      </x:c>
      <x:c r="N21" s="5">
        <x:f>IF($A21="","",SUMIFS(Manager_Reports!$N:$N,Manager_Reports!$A:$A,Dashboard!$B$2,Manager_Reports!$C:$C,$B21))</x:f>
      </x:c>
      <x:c r="O21" s="5">
        <x:f>IF($A21="","",SUMIFS(Manager_Reports!$O:$O,Manager_Reports!$A:$A,Dashboard!$B$2,Manager_Reports!$C:$C,$B21))</x:f>
      </x:c>
      <x:c r="P21" s="5">
        <x:f>IF($A21="","",SUMIFS(Manager_Reports!$P:$P,Manager_Reports!$A:$A,Dashboard!$B$2,Manager_Reports!$C:$C,$B21))</x:f>
      </x:c>
      <x:c r="Q21" s="5">
        <x:f>IF($A21="","",SUMIFS(Manager_Reports!$Q:$Q,Manager_Reports!$A:$A,Dashboard!$B$2,Manager_Reports!$C:$C,$B21))</x:f>
      </x:c>
    </x:row>
    <x:row r="22">
      <x:c r="A22" s="5">
        <x:f>Settings!A22</x:f>
        <x:v>0</x:v>
      </x:c>
      <x:c r="B22" s="5">
        <x:f>Settings!B22</x:f>
        <x:v>0</x:v>
      </x:c>
      <x:c r="C22" s="5">
        <x:f>Settings!C22</x:f>
        <x:v>0</x:v>
      </x:c>
      <x:c r="D22" s="5">
        <x:f>IF($A22="","",COUNTIFS(Manager_Reports!$A:$A,Dashboard!$B$2,Manager_Reports!$C:$C,$B22))</x:f>
      </x:c>
      <x:c r="E22" s="5">
        <x:f>IF($A22="","",IFERROR(LOOKUP(2,1/((Manager_Reports!$A:$A=Dashboard!$B$2)*(Manager_Reports!$C:$C=$B22)),Manager_Reports!$T:$T),""))</x:f>
      </x:c>
      <x:c r="F22" s="5">
        <x:f>IF($A22="","",SUMIFS(Manager_Reports!$F:$F,Manager_Reports!$A:$A,Dashboard!$B$2,Manager_Reports!$C:$C,$B22))</x:f>
      </x:c>
      <x:c r="G22" s="5">
        <x:f>IF($A22="","",SUMIFS(Manager_Reports!$G:$G,Manager_Reports!$A:$A,Dashboard!$B$2,Manager_Reports!$C:$C,$B22))</x:f>
      </x:c>
      <x:c r="H22" s="5">
        <x:f>IF($A22="","",SUMIFS(Manager_Reports!$H:$H,Manager_Reports!$A:$A,Dashboard!$B$2,Manager_Reports!$C:$C,$B22))</x:f>
      </x:c>
      <x:c r="I22" s="5">
        <x:f>IF($A22="","",SUMIFS(Manager_Reports!$I:$I,Manager_Reports!$A:$A,Dashboard!$B$2,Manager_Reports!$C:$C,$B22))</x:f>
      </x:c>
      <x:c r="J22" s="5">
        <x:f>IF($A22="","",SUMIFS(Manager_Reports!$J:$J,Manager_Reports!$A:$A,Dashboard!$B$2,Manager_Reports!$C:$C,$B22))</x:f>
      </x:c>
      <x:c r="K22" s="5">
        <x:f>IF($A22="","",SUMIFS(Manager_Reports!$K:$K,Manager_Reports!$A:$A,Dashboard!$B$2,Manager_Reports!$C:$C,$B22))</x:f>
      </x:c>
      <x:c r="L22" s="5">
        <x:f>IF($A22="","",SUMIFS(Manager_Reports!$L:$L,Manager_Reports!$A:$A,Dashboard!$B$2,Manager_Reports!$C:$C,$B22))</x:f>
      </x:c>
      <x:c r="M22" s="5">
        <x:f>IF($A22="","",SUMIFS(Manager_Reports!$M:$M,Manager_Reports!$A:$A,Dashboard!$B$2,Manager_Reports!$C:$C,$B22))</x:f>
      </x:c>
      <x:c r="N22" s="5">
        <x:f>IF($A22="","",SUMIFS(Manager_Reports!$N:$N,Manager_Reports!$A:$A,Dashboard!$B$2,Manager_Reports!$C:$C,$B22))</x:f>
      </x:c>
      <x:c r="O22" s="5">
        <x:f>IF($A22="","",SUMIFS(Manager_Reports!$O:$O,Manager_Reports!$A:$A,Dashboard!$B$2,Manager_Reports!$C:$C,$B22))</x:f>
      </x:c>
      <x:c r="P22" s="5">
        <x:f>IF($A22="","",SUMIFS(Manager_Reports!$P:$P,Manager_Reports!$A:$A,Dashboard!$B$2,Manager_Reports!$C:$C,$B22))</x:f>
      </x:c>
      <x:c r="Q22" s="5">
        <x:f>IF($A22="","",SUMIFS(Manager_Reports!$Q:$Q,Manager_Reports!$A:$A,Dashboard!$B$2,Manager_Reports!$C:$C,$B22))</x:f>
      </x:c>
    </x:row>
    <x:row r="23">
      <x:c r="A23" s="5">
        <x:f>Settings!A23</x:f>
        <x:v>0</x:v>
      </x:c>
      <x:c r="B23" s="5">
        <x:f>Settings!B23</x:f>
        <x:v>0</x:v>
      </x:c>
      <x:c r="C23" s="5">
        <x:f>Settings!C23</x:f>
        <x:v>0</x:v>
      </x:c>
      <x:c r="D23" s="5">
        <x:f>IF($A23="","",COUNTIFS(Manager_Reports!$A:$A,Dashboard!$B$2,Manager_Reports!$C:$C,$B23))</x:f>
      </x:c>
      <x:c r="E23" s="5">
        <x:f>IF($A23="","",IFERROR(LOOKUP(2,1/((Manager_Reports!$A:$A=Dashboard!$B$2)*(Manager_Reports!$C:$C=$B23)),Manager_Reports!$T:$T),""))</x:f>
      </x:c>
      <x:c r="F23" s="5">
        <x:f>IF($A23="","",SUMIFS(Manager_Reports!$F:$F,Manager_Reports!$A:$A,Dashboard!$B$2,Manager_Reports!$C:$C,$B23))</x:f>
      </x:c>
      <x:c r="G23" s="5">
        <x:f>IF($A23="","",SUMIFS(Manager_Reports!$G:$G,Manager_Reports!$A:$A,Dashboard!$B$2,Manager_Reports!$C:$C,$B23))</x:f>
      </x:c>
      <x:c r="H23" s="5">
        <x:f>IF($A23="","",SUMIFS(Manager_Reports!$H:$H,Manager_Reports!$A:$A,Dashboard!$B$2,Manager_Reports!$C:$C,$B23))</x:f>
      </x:c>
      <x:c r="I23" s="5">
        <x:f>IF($A23="","",SUMIFS(Manager_Reports!$I:$I,Manager_Reports!$A:$A,Dashboard!$B$2,Manager_Reports!$C:$C,$B23))</x:f>
      </x:c>
      <x:c r="J23" s="5">
        <x:f>IF($A23="","",SUMIFS(Manager_Reports!$J:$J,Manager_Reports!$A:$A,Dashboard!$B$2,Manager_Reports!$C:$C,$B23))</x:f>
      </x:c>
      <x:c r="K23" s="5">
        <x:f>IF($A23="","",SUMIFS(Manager_Reports!$K:$K,Manager_Reports!$A:$A,Dashboard!$B$2,Manager_Reports!$C:$C,$B23))</x:f>
      </x:c>
      <x:c r="L23" s="5">
        <x:f>IF($A23="","",SUMIFS(Manager_Reports!$L:$L,Manager_Reports!$A:$A,Dashboard!$B$2,Manager_Reports!$C:$C,$B23))</x:f>
      </x:c>
      <x:c r="M23" s="5">
        <x:f>IF($A23="","",SUMIFS(Manager_Reports!$M:$M,Manager_Reports!$A:$A,Dashboard!$B$2,Manager_Reports!$C:$C,$B23))</x:f>
      </x:c>
      <x:c r="N23" s="5">
        <x:f>IF($A23="","",SUMIFS(Manager_Reports!$N:$N,Manager_Reports!$A:$A,Dashboard!$B$2,Manager_Reports!$C:$C,$B23))</x:f>
      </x:c>
      <x:c r="O23" s="5">
        <x:f>IF($A23="","",SUMIFS(Manager_Reports!$O:$O,Manager_Reports!$A:$A,Dashboard!$B$2,Manager_Reports!$C:$C,$B23))</x:f>
      </x:c>
      <x:c r="P23" s="5">
        <x:f>IF($A23="","",SUMIFS(Manager_Reports!$P:$P,Manager_Reports!$A:$A,Dashboard!$B$2,Manager_Reports!$C:$C,$B23))</x:f>
      </x:c>
      <x:c r="Q23" s="5">
        <x:f>IF($A23="","",SUMIFS(Manager_Reports!$Q:$Q,Manager_Reports!$A:$A,Dashboard!$B$2,Manager_Reports!$C:$C,$B23))</x:f>
      </x:c>
    </x:row>
    <x:row r="24">
      <x:c r="A24" s="5">
        <x:f>Settings!A24</x:f>
        <x:v>0</x:v>
      </x:c>
      <x:c r="B24" s="5">
        <x:f>Settings!B24</x:f>
        <x:v>0</x:v>
      </x:c>
      <x:c r="C24" s="5">
        <x:f>Settings!C24</x:f>
        <x:v>0</x:v>
      </x:c>
      <x:c r="D24" s="5">
        <x:f>IF($A24="","",COUNTIFS(Manager_Reports!$A:$A,Dashboard!$B$2,Manager_Reports!$C:$C,$B24))</x:f>
      </x:c>
      <x:c r="E24" s="5">
        <x:f>IF($A24="","",IFERROR(LOOKUP(2,1/((Manager_Reports!$A:$A=Dashboard!$B$2)*(Manager_Reports!$C:$C=$B24)),Manager_Reports!$T:$T),""))</x:f>
      </x:c>
      <x:c r="F24" s="5">
        <x:f>IF($A24="","",SUMIFS(Manager_Reports!$F:$F,Manager_Reports!$A:$A,Dashboard!$B$2,Manager_Reports!$C:$C,$B24))</x:f>
      </x:c>
      <x:c r="G24" s="5">
        <x:f>IF($A24="","",SUMIFS(Manager_Reports!$G:$G,Manager_Reports!$A:$A,Dashboard!$B$2,Manager_Reports!$C:$C,$B24))</x:f>
      </x:c>
      <x:c r="H24" s="5">
        <x:f>IF($A24="","",SUMIFS(Manager_Reports!$H:$H,Manager_Reports!$A:$A,Dashboard!$B$2,Manager_Reports!$C:$C,$B24))</x:f>
      </x:c>
      <x:c r="I24" s="5">
        <x:f>IF($A24="","",SUMIFS(Manager_Reports!$I:$I,Manager_Reports!$A:$A,Dashboard!$B$2,Manager_Reports!$C:$C,$B24))</x:f>
      </x:c>
      <x:c r="J24" s="5">
        <x:f>IF($A24="","",SUMIFS(Manager_Reports!$J:$J,Manager_Reports!$A:$A,Dashboard!$B$2,Manager_Reports!$C:$C,$B24))</x:f>
      </x:c>
      <x:c r="K24" s="5">
        <x:f>IF($A24="","",SUMIFS(Manager_Reports!$K:$K,Manager_Reports!$A:$A,Dashboard!$B$2,Manager_Reports!$C:$C,$B24))</x:f>
      </x:c>
      <x:c r="L24" s="5">
        <x:f>IF($A24="","",SUMIFS(Manager_Reports!$L:$L,Manager_Reports!$A:$A,Dashboard!$B$2,Manager_Reports!$C:$C,$B24))</x:f>
      </x:c>
      <x:c r="M24" s="5">
        <x:f>IF($A24="","",SUMIFS(Manager_Reports!$M:$M,Manager_Reports!$A:$A,Dashboard!$B$2,Manager_Reports!$C:$C,$B24))</x:f>
      </x:c>
      <x:c r="N24" s="5">
        <x:f>IF($A24="","",SUMIFS(Manager_Reports!$N:$N,Manager_Reports!$A:$A,Dashboard!$B$2,Manager_Reports!$C:$C,$B24))</x:f>
      </x:c>
      <x:c r="O24" s="5">
        <x:f>IF($A24="","",SUMIFS(Manager_Reports!$O:$O,Manager_Reports!$A:$A,Dashboard!$B$2,Manager_Reports!$C:$C,$B24))</x:f>
      </x:c>
      <x:c r="P24" s="5">
        <x:f>IF($A24="","",SUMIFS(Manager_Reports!$P:$P,Manager_Reports!$A:$A,Dashboard!$B$2,Manager_Reports!$C:$C,$B24))</x:f>
      </x:c>
      <x:c r="Q24" s="5">
        <x:f>IF($A24="","",SUMIFS(Manager_Reports!$Q:$Q,Manager_Reports!$A:$A,Dashboard!$B$2,Manager_Reports!$C:$C,$B24))</x:f>
      </x:c>
    </x:row>
    <x:row r="25">
      <x:c r="A25" s="5">
        <x:f>Settings!A25</x:f>
        <x:v>0</x:v>
      </x:c>
      <x:c r="B25" s="5">
        <x:f>Settings!B25</x:f>
        <x:v>0</x:v>
      </x:c>
      <x:c r="C25" s="5">
        <x:f>Settings!C25</x:f>
        <x:v>0</x:v>
      </x:c>
      <x:c r="D25" s="5">
        <x:f>IF($A25="","",COUNTIFS(Manager_Reports!$A:$A,Dashboard!$B$2,Manager_Reports!$C:$C,$B25))</x:f>
      </x:c>
      <x:c r="E25" s="5">
        <x:f>IF($A25="","",IFERROR(LOOKUP(2,1/((Manager_Reports!$A:$A=Dashboard!$B$2)*(Manager_Reports!$C:$C=$B25)),Manager_Reports!$T:$T),""))</x:f>
      </x:c>
      <x:c r="F25" s="5">
        <x:f>IF($A25="","",SUMIFS(Manager_Reports!$F:$F,Manager_Reports!$A:$A,Dashboard!$B$2,Manager_Reports!$C:$C,$B25))</x:f>
      </x:c>
      <x:c r="G25" s="5">
        <x:f>IF($A25="","",SUMIFS(Manager_Reports!$G:$G,Manager_Reports!$A:$A,Dashboard!$B$2,Manager_Reports!$C:$C,$B25))</x:f>
      </x:c>
      <x:c r="H25" s="5">
        <x:f>IF($A25="","",SUMIFS(Manager_Reports!$H:$H,Manager_Reports!$A:$A,Dashboard!$B$2,Manager_Reports!$C:$C,$B25))</x:f>
      </x:c>
      <x:c r="I25" s="5">
        <x:f>IF($A25="","",SUMIFS(Manager_Reports!$I:$I,Manager_Reports!$A:$A,Dashboard!$B$2,Manager_Reports!$C:$C,$B25))</x:f>
      </x:c>
      <x:c r="J25" s="5">
        <x:f>IF($A25="","",SUMIFS(Manager_Reports!$J:$J,Manager_Reports!$A:$A,Dashboard!$B$2,Manager_Reports!$C:$C,$B25))</x:f>
      </x:c>
      <x:c r="K25" s="5">
        <x:f>IF($A25="","",SUMIFS(Manager_Reports!$K:$K,Manager_Reports!$A:$A,Dashboard!$B$2,Manager_Reports!$C:$C,$B25))</x:f>
      </x:c>
      <x:c r="L25" s="5">
        <x:f>IF($A25="","",SUMIFS(Manager_Reports!$L:$L,Manager_Reports!$A:$A,Dashboard!$B$2,Manager_Reports!$C:$C,$B25))</x:f>
      </x:c>
      <x:c r="M25" s="5">
        <x:f>IF($A25="","",SUMIFS(Manager_Reports!$M:$M,Manager_Reports!$A:$A,Dashboard!$B$2,Manager_Reports!$C:$C,$B25))</x:f>
      </x:c>
      <x:c r="N25" s="5">
        <x:f>IF($A25="","",SUMIFS(Manager_Reports!$N:$N,Manager_Reports!$A:$A,Dashboard!$B$2,Manager_Reports!$C:$C,$B25))</x:f>
      </x:c>
      <x:c r="O25" s="5">
        <x:f>IF($A25="","",SUMIFS(Manager_Reports!$O:$O,Manager_Reports!$A:$A,Dashboard!$B$2,Manager_Reports!$C:$C,$B25))</x:f>
      </x:c>
      <x:c r="P25" s="5">
        <x:f>IF($A25="","",SUMIFS(Manager_Reports!$P:$P,Manager_Reports!$A:$A,Dashboard!$B$2,Manager_Reports!$C:$C,$B25))</x:f>
      </x:c>
      <x:c r="Q25" s="5">
        <x:f>IF($A25="","",SUMIFS(Manager_Reports!$Q:$Q,Manager_Reports!$A:$A,Dashboard!$B$2,Manager_Reports!$C:$C,$B25))</x:f>
      </x:c>
    </x:row>
    <x:row r="26">
      <x:c r="A26" s="5">
        <x:f>Settings!A26</x:f>
        <x:v>0</x:v>
      </x:c>
      <x:c r="B26" s="5">
        <x:f>Settings!B26</x:f>
        <x:v>0</x:v>
      </x:c>
      <x:c r="C26" s="5">
        <x:f>Settings!C26</x:f>
        <x:v>0</x:v>
      </x:c>
      <x:c r="D26" s="5">
        <x:f>IF($A26="","",COUNTIFS(Manager_Reports!$A:$A,Dashboard!$B$2,Manager_Reports!$C:$C,$B26))</x:f>
      </x:c>
      <x:c r="E26" s="5">
        <x:f>IF($A26="","",IFERROR(LOOKUP(2,1/((Manager_Reports!$A:$A=Dashboard!$B$2)*(Manager_Reports!$C:$C=$B26)),Manager_Reports!$T:$T),""))</x:f>
      </x:c>
      <x:c r="F26" s="5">
        <x:f>IF($A26="","",SUMIFS(Manager_Reports!$F:$F,Manager_Reports!$A:$A,Dashboard!$B$2,Manager_Reports!$C:$C,$B26))</x:f>
      </x:c>
      <x:c r="G26" s="5">
        <x:f>IF($A26="","",SUMIFS(Manager_Reports!$G:$G,Manager_Reports!$A:$A,Dashboard!$B$2,Manager_Reports!$C:$C,$B26))</x:f>
      </x:c>
      <x:c r="H26" s="5">
        <x:f>IF($A26="","",SUMIFS(Manager_Reports!$H:$H,Manager_Reports!$A:$A,Dashboard!$B$2,Manager_Reports!$C:$C,$B26))</x:f>
      </x:c>
      <x:c r="I26" s="5">
        <x:f>IF($A26="","",SUMIFS(Manager_Reports!$I:$I,Manager_Reports!$A:$A,Dashboard!$B$2,Manager_Reports!$C:$C,$B26))</x:f>
      </x:c>
      <x:c r="J26" s="5">
        <x:f>IF($A26="","",SUMIFS(Manager_Reports!$J:$J,Manager_Reports!$A:$A,Dashboard!$B$2,Manager_Reports!$C:$C,$B26))</x:f>
      </x:c>
      <x:c r="K26" s="5">
        <x:f>IF($A26="","",SUMIFS(Manager_Reports!$K:$K,Manager_Reports!$A:$A,Dashboard!$B$2,Manager_Reports!$C:$C,$B26))</x:f>
      </x:c>
      <x:c r="L26" s="5">
        <x:f>IF($A26="","",SUMIFS(Manager_Reports!$L:$L,Manager_Reports!$A:$A,Dashboard!$B$2,Manager_Reports!$C:$C,$B26))</x:f>
      </x:c>
      <x:c r="M26" s="5">
        <x:f>IF($A26="","",SUMIFS(Manager_Reports!$M:$M,Manager_Reports!$A:$A,Dashboard!$B$2,Manager_Reports!$C:$C,$B26))</x:f>
      </x:c>
      <x:c r="N26" s="5">
        <x:f>IF($A26="","",SUMIFS(Manager_Reports!$N:$N,Manager_Reports!$A:$A,Dashboard!$B$2,Manager_Reports!$C:$C,$B26))</x:f>
      </x:c>
      <x:c r="O26" s="5">
        <x:f>IF($A26="","",SUMIFS(Manager_Reports!$O:$O,Manager_Reports!$A:$A,Dashboard!$B$2,Manager_Reports!$C:$C,$B26))</x:f>
      </x:c>
      <x:c r="P26" s="5">
        <x:f>IF($A26="","",SUMIFS(Manager_Reports!$P:$P,Manager_Reports!$A:$A,Dashboard!$B$2,Manager_Reports!$C:$C,$B26))</x:f>
      </x:c>
      <x:c r="Q26" s="5">
        <x:f>IF($A26="","",SUMIFS(Manager_Reports!$Q:$Q,Manager_Reports!$A:$A,Dashboard!$B$2,Manager_Reports!$C:$C,$B26))</x:f>
      </x:c>
    </x:row>
    <x:row r="27">
      <x:c r="A27" s="5">
        <x:f>Settings!A27</x:f>
        <x:v>0</x:v>
      </x:c>
      <x:c r="B27" s="5">
        <x:f>Settings!B27</x:f>
        <x:v>0</x:v>
      </x:c>
      <x:c r="C27" s="5">
        <x:f>Settings!C27</x:f>
        <x:v>0</x:v>
      </x:c>
      <x:c r="D27" s="5">
        <x:f>IF($A27="","",COUNTIFS(Manager_Reports!$A:$A,Dashboard!$B$2,Manager_Reports!$C:$C,$B27))</x:f>
      </x:c>
      <x:c r="E27" s="5">
        <x:f>IF($A27="","",IFERROR(LOOKUP(2,1/((Manager_Reports!$A:$A=Dashboard!$B$2)*(Manager_Reports!$C:$C=$B27)),Manager_Reports!$T:$T),""))</x:f>
      </x:c>
      <x:c r="F27" s="5">
        <x:f>IF($A27="","",SUMIFS(Manager_Reports!$F:$F,Manager_Reports!$A:$A,Dashboard!$B$2,Manager_Reports!$C:$C,$B27))</x:f>
      </x:c>
      <x:c r="G27" s="5">
        <x:f>IF($A27="","",SUMIFS(Manager_Reports!$G:$G,Manager_Reports!$A:$A,Dashboard!$B$2,Manager_Reports!$C:$C,$B27))</x:f>
      </x:c>
      <x:c r="H27" s="5">
        <x:f>IF($A27="","",SUMIFS(Manager_Reports!$H:$H,Manager_Reports!$A:$A,Dashboard!$B$2,Manager_Reports!$C:$C,$B27))</x:f>
      </x:c>
      <x:c r="I27" s="5">
        <x:f>IF($A27="","",SUMIFS(Manager_Reports!$I:$I,Manager_Reports!$A:$A,Dashboard!$B$2,Manager_Reports!$C:$C,$B27))</x:f>
      </x:c>
      <x:c r="J27" s="5">
        <x:f>IF($A27="","",SUMIFS(Manager_Reports!$J:$J,Manager_Reports!$A:$A,Dashboard!$B$2,Manager_Reports!$C:$C,$B27))</x:f>
      </x:c>
      <x:c r="K27" s="5">
        <x:f>IF($A27="","",SUMIFS(Manager_Reports!$K:$K,Manager_Reports!$A:$A,Dashboard!$B$2,Manager_Reports!$C:$C,$B27))</x:f>
      </x:c>
      <x:c r="L27" s="5">
        <x:f>IF($A27="","",SUMIFS(Manager_Reports!$L:$L,Manager_Reports!$A:$A,Dashboard!$B$2,Manager_Reports!$C:$C,$B27))</x:f>
      </x:c>
      <x:c r="M27" s="5">
        <x:f>IF($A27="","",SUMIFS(Manager_Reports!$M:$M,Manager_Reports!$A:$A,Dashboard!$B$2,Manager_Reports!$C:$C,$B27))</x:f>
      </x:c>
      <x:c r="N27" s="5">
        <x:f>IF($A27="","",SUMIFS(Manager_Reports!$N:$N,Manager_Reports!$A:$A,Dashboard!$B$2,Manager_Reports!$C:$C,$B27))</x:f>
      </x:c>
      <x:c r="O27" s="5">
        <x:f>IF($A27="","",SUMIFS(Manager_Reports!$O:$O,Manager_Reports!$A:$A,Dashboard!$B$2,Manager_Reports!$C:$C,$B27))</x:f>
      </x:c>
      <x:c r="P27" s="5">
        <x:f>IF($A27="","",SUMIFS(Manager_Reports!$P:$P,Manager_Reports!$A:$A,Dashboard!$B$2,Manager_Reports!$C:$C,$B27))</x:f>
      </x:c>
      <x:c r="Q27" s="5">
        <x:f>IF($A27="","",SUMIFS(Manager_Reports!$Q:$Q,Manager_Reports!$A:$A,Dashboard!$B$2,Manager_Reports!$C:$C,$B27))</x:f>
      </x:c>
    </x:row>
    <x:row r="28">
      <x:c r="A28" s="5">
        <x:f>Settings!A28</x:f>
        <x:v>0</x:v>
      </x:c>
      <x:c r="B28" s="5">
        <x:f>Settings!B28</x:f>
        <x:v>0</x:v>
      </x:c>
      <x:c r="C28" s="5">
        <x:f>Settings!C28</x:f>
        <x:v>0</x:v>
      </x:c>
      <x:c r="D28" s="5">
        <x:f>IF($A28="","",COUNTIFS(Manager_Reports!$A:$A,Dashboard!$B$2,Manager_Reports!$C:$C,$B28))</x:f>
      </x:c>
      <x:c r="E28" s="5">
        <x:f>IF($A28="","",IFERROR(LOOKUP(2,1/((Manager_Reports!$A:$A=Dashboard!$B$2)*(Manager_Reports!$C:$C=$B28)),Manager_Reports!$T:$T),""))</x:f>
      </x:c>
      <x:c r="F28" s="5">
        <x:f>IF($A28="","",SUMIFS(Manager_Reports!$F:$F,Manager_Reports!$A:$A,Dashboard!$B$2,Manager_Reports!$C:$C,$B28))</x:f>
      </x:c>
      <x:c r="G28" s="5">
        <x:f>IF($A28="","",SUMIFS(Manager_Reports!$G:$G,Manager_Reports!$A:$A,Dashboard!$B$2,Manager_Reports!$C:$C,$B28))</x:f>
      </x:c>
      <x:c r="H28" s="5">
        <x:f>IF($A28="","",SUMIFS(Manager_Reports!$H:$H,Manager_Reports!$A:$A,Dashboard!$B$2,Manager_Reports!$C:$C,$B28))</x:f>
      </x:c>
      <x:c r="I28" s="5">
        <x:f>IF($A28="","",SUMIFS(Manager_Reports!$I:$I,Manager_Reports!$A:$A,Dashboard!$B$2,Manager_Reports!$C:$C,$B28))</x:f>
      </x:c>
      <x:c r="J28" s="5">
        <x:f>IF($A28="","",SUMIFS(Manager_Reports!$J:$J,Manager_Reports!$A:$A,Dashboard!$B$2,Manager_Reports!$C:$C,$B28))</x:f>
      </x:c>
      <x:c r="K28" s="5">
        <x:f>IF($A28="","",SUMIFS(Manager_Reports!$K:$K,Manager_Reports!$A:$A,Dashboard!$B$2,Manager_Reports!$C:$C,$B28))</x:f>
      </x:c>
      <x:c r="L28" s="5">
        <x:f>IF($A28="","",SUMIFS(Manager_Reports!$L:$L,Manager_Reports!$A:$A,Dashboard!$B$2,Manager_Reports!$C:$C,$B28))</x:f>
      </x:c>
      <x:c r="M28" s="5">
        <x:f>IF($A28="","",SUMIFS(Manager_Reports!$M:$M,Manager_Reports!$A:$A,Dashboard!$B$2,Manager_Reports!$C:$C,$B28))</x:f>
      </x:c>
      <x:c r="N28" s="5">
        <x:f>IF($A28="","",SUMIFS(Manager_Reports!$N:$N,Manager_Reports!$A:$A,Dashboard!$B$2,Manager_Reports!$C:$C,$B28))</x:f>
      </x:c>
      <x:c r="O28" s="5">
        <x:f>IF($A28="","",SUMIFS(Manager_Reports!$O:$O,Manager_Reports!$A:$A,Dashboard!$B$2,Manager_Reports!$C:$C,$B28))</x:f>
      </x:c>
      <x:c r="P28" s="5">
        <x:f>IF($A28="","",SUMIFS(Manager_Reports!$P:$P,Manager_Reports!$A:$A,Dashboard!$B$2,Manager_Reports!$C:$C,$B28))</x:f>
      </x:c>
      <x:c r="Q28" s="5">
        <x:f>IF($A28="","",SUMIFS(Manager_Reports!$Q:$Q,Manager_Reports!$A:$A,Dashboard!$B$2,Manager_Reports!$C:$C,$B28))</x:f>
      </x:c>
    </x:row>
    <x:row r="29">
      <x:c r="A29" s="5">
        <x:f>Settings!A29</x:f>
        <x:v>0</x:v>
      </x:c>
      <x:c r="B29" s="5">
        <x:f>Settings!B29</x:f>
        <x:v>0</x:v>
      </x:c>
      <x:c r="C29" s="5">
        <x:f>Settings!C29</x:f>
        <x:v>0</x:v>
      </x:c>
      <x:c r="D29" s="5">
        <x:f>IF($A29="","",COUNTIFS(Manager_Reports!$A:$A,Dashboard!$B$2,Manager_Reports!$C:$C,$B29))</x:f>
      </x:c>
      <x:c r="E29" s="5">
        <x:f>IF($A29="","",IFERROR(LOOKUP(2,1/((Manager_Reports!$A:$A=Dashboard!$B$2)*(Manager_Reports!$C:$C=$B29)),Manager_Reports!$T:$T),""))</x:f>
      </x:c>
      <x:c r="F29" s="5">
        <x:f>IF($A29="","",SUMIFS(Manager_Reports!$F:$F,Manager_Reports!$A:$A,Dashboard!$B$2,Manager_Reports!$C:$C,$B29))</x:f>
      </x:c>
      <x:c r="G29" s="5">
        <x:f>IF($A29="","",SUMIFS(Manager_Reports!$G:$G,Manager_Reports!$A:$A,Dashboard!$B$2,Manager_Reports!$C:$C,$B29))</x:f>
      </x:c>
      <x:c r="H29" s="5">
        <x:f>IF($A29="","",SUMIFS(Manager_Reports!$H:$H,Manager_Reports!$A:$A,Dashboard!$B$2,Manager_Reports!$C:$C,$B29))</x:f>
      </x:c>
      <x:c r="I29" s="5">
        <x:f>IF($A29="","",SUMIFS(Manager_Reports!$I:$I,Manager_Reports!$A:$A,Dashboard!$B$2,Manager_Reports!$C:$C,$B29))</x:f>
      </x:c>
      <x:c r="J29" s="5">
        <x:f>IF($A29="","",SUMIFS(Manager_Reports!$J:$J,Manager_Reports!$A:$A,Dashboard!$B$2,Manager_Reports!$C:$C,$B29))</x:f>
      </x:c>
      <x:c r="K29" s="5">
        <x:f>IF($A29="","",SUMIFS(Manager_Reports!$K:$K,Manager_Reports!$A:$A,Dashboard!$B$2,Manager_Reports!$C:$C,$B29))</x:f>
      </x:c>
      <x:c r="L29" s="5">
        <x:f>IF($A29="","",SUMIFS(Manager_Reports!$L:$L,Manager_Reports!$A:$A,Dashboard!$B$2,Manager_Reports!$C:$C,$B29))</x:f>
      </x:c>
      <x:c r="M29" s="5">
        <x:f>IF($A29="","",SUMIFS(Manager_Reports!$M:$M,Manager_Reports!$A:$A,Dashboard!$B$2,Manager_Reports!$C:$C,$B29))</x:f>
      </x:c>
      <x:c r="N29" s="5">
        <x:f>IF($A29="","",SUMIFS(Manager_Reports!$N:$N,Manager_Reports!$A:$A,Dashboard!$B$2,Manager_Reports!$C:$C,$B29))</x:f>
      </x:c>
      <x:c r="O29" s="5">
        <x:f>IF($A29="","",SUMIFS(Manager_Reports!$O:$O,Manager_Reports!$A:$A,Dashboard!$B$2,Manager_Reports!$C:$C,$B29))</x:f>
      </x:c>
      <x:c r="P29" s="5">
        <x:f>IF($A29="","",SUMIFS(Manager_Reports!$P:$P,Manager_Reports!$A:$A,Dashboard!$B$2,Manager_Reports!$C:$C,$B29))</x:f>
      </x:c>
      <x:c r="Q29" s="5">
        <x:f>IF($A29="","",SUMIFS(Manager_Reports!$Q:$Q,Manager_Reports!$A:$A,Dashboard!$B$2,Manager_Reports!$C:$C,$B29))</x:f>
      </x:c>
    </x:row>
    <x:row r="30">
      <x:c r="A30" s="5">
        <x:f>Settings!A30</x:f>
        <x:v>0</x:v>
      </x:c>
      <x:c r="B30" s="5">
        <x:f>Settings!B30</x:f>
        <x:v>0</x:v>
      </x:c>
      <x:c r="C30" s="5">
        <x:f>Settings!C30</x:f>
        <x:v>0</x:v>
      </x:c>
      <x:c r="D30" s="5">
        <x:f>IF($A30="","",COUNTIFS(Manager_Reports!$A:$A,Dashboard!$B$2,Manager_Reports!$C:$C,$B30))</x:f>
      </x:c>
      <x:c r="E30" s="5">
        <x:f>IF($A30="","",IFERROR(LOOKUP(2,1/((Manager_Reports!$A:$A=Dashboard!$B$2)*(Manager_Reports!$C:$C=$B30)),Manager_Reports!$T:$T),""))</x:f>
      </x:c>
      <x:c r="F30" s="5">
        <x:f>IF($A30="","",SUMIFS(Manager_Reports!$F:$F,Manager_Reports!$A:$A,Dashboard!$B$2,Manager_Reports!$C:$C,$B30))</x:f>
      </x:c>
      <x:c r="G30" s="5">
        <x:f>IF($A30="","",SUMIFS(Manager_Reports!$G:$G,Manager_Reports!$A:$A,Dashboard!$B$2,Manager_Reports!$C:$C,$B30))</x:f>
      </x:c>
      <x:c r="H30" s="5">
        <x:f>IF($A30="","",SUMIFS(Manager_Reports!$H:$H,Manager_Reports!$A:$A,Dashboard!$B$2,Manager_Reports!$C:$C,$B30))</x:f>
      </x:c>
      <x:c r="I30" s="5">
        <x:f>IF($A30="","",SUMIFS(Manager_Reports!$I:$I,Manager_Reports!$A:$A,Dashboard!$B$2,Manager_Reports!$C:$C,$B30))</x:f>
      </x:c>
      <x:c r="J30" s="5">
        <x:f>IF($A30="","",SUMIFS(Manager_Reports!$J:$J,Manager_Reports!$A:$A,Dashboard!$B$2,Manager_Reports!$C:$C,$B30))</x:f>
      </x:c>
      <x:c r="K30" s="5">
        <x:f>IF($A30="","",SUMIFS(Manager_Reports!$K:$K,Manager_Reports!$A:$A,Dashboard!$B$2,Manager_Reports!$C:$C,$B30))</x:f>
      </x:c>
      <x:c r="L30" s="5">
        <x:f>IF($A30="","",SUMIFS(Manager_Reports!$L:$L,Manager_Reports!$A:$A,Dashboard!$B$2,Manager_Reports!$C:$C,$B30))</x:f>
      </x:c>
      <x:c r="M30" s="5">
        <x:f>IF($A30="","",SUMIFS(Manager_Reports!$M:$M,Manager_Reports!$A:$A,Dashboard!$B$2,Manager_Reports!$C:$C,$B30))</x:f>
      </x:c>
      <x:c r="N30" s="5">
        <x:f>IF($A30="","",SUMIFS(Manager_Reports!$N:$N,Manager_Reports!$A:$A,Dashboard!$B$2,Manager_Reports!$C:$C,$B30))</x:f>
      </x:c>
      <x:c r="O30" s="5">
        <x:f>IF($A30="","",SUMIFS(Manager_Reports!$O:$O,Manager_Reports!$A:$A,Dashboard!$B$2,Manager_Reports!$C:$C,$B30))</x:f>
      </x:c>
      <x:c r="P30" s="5">
        <x:f>IF($A30="","",SUMIFS(Manager_Reports!$P:$P,Manager_Reports!$A:$A,Dashboard!$B$2,Manager_Reports!$C:$C,$B30))</x:f>
      </x:c>
      <x:c r="Q30" s="5">
        <x:f>IF($A30="","",SUMIFS(Manager_Reports!$Q:$Q,Manager_Reports!$A:$A,Dashboard!$B$2,Manager_Reports!$C:$C,$B30))</x:f>
      </x:c>
    </x:row>
    <x:row r="31">
      <x:c r="A31" s="5">
        <x:f>Settings!A31</x:f>
        <x:v>0</x:v>
      </x:c>
      <x:c r="B31" s="5">
        <x:f>Settings!B31</x:f>
        <x:v>0</x:v>
      </x:c>
      <x:c r="C31" s="5">
        <x:f>Settings!C31</x:f>
        <x:v>0</x:v>
      </x:c>
      <x:c r="D31" s="5">
        <x:f>IF($A31="","",COUNTIFS(Manager_Reports!$A:$A,Dashboard!$B$2,Manager_Reports!$C:$C,$B31))</x:f>
      </x:c>
      <x:c r="E31" s="5">
        <x:f>IF($A31="","",IFERROR(LOOKUP(2,1/((Manager_Reports!$A:$A=Dashboard!$B$2)*(Manager_Reports!$C:$C=$B31)),Manager_Reports!$T:$T),""))</x:f>
      </x:c>
      <x:c r="F31" s="5">
        <x:f>IF($A31="","",SUMIFS(Manager_Reports!$F:$F,Manager_Reports!$A:$A,Dashboard!$B$2,Manager_Reports!$C:$C,$B31))</x:f>
      </x:c>
      <x:c r="G31" s="5">
        <x:f>IF($A31="","",SUMIFS(Manager_Reports!$G:$G,Manager_Reports!$A:$A,Dashboard!$B$2,Manager_Reports!$C:$C,$B31))</x:f>
      </x:c>
      <x:c r="H31" s="5">
        <x:f>IF($A31="","",SUMIFS(Manager_Reports!$H:$H,Manager_Reports!$A:$A,Dashboard!$B$2,Manager_Reports!$C:$C,$B31))</x:f>
      </x:c>
      <x:c r="I31" s="5">
        <x:f>IF($A31="","",SUMIFS(Manager_Reports!$I:$I,Manager_Reports!$A:$A,Dashboard!$B$2,Manager_Reports!$C:$C,$B31))</x:f>
      </x:c>
      <x:c r="J31" s="5">
        <x:f>IF($A31="","",SUMIFS(Manager_Reports!$J:$J,Manager_Reports!$A:$A,Dashboard!$B$2,Manager_Reports!$C:$C,$B31))</x:f>
      </x:c>
      <x:c r="K31" s="5">
        <x:f>IF($A31="","",SUMIFS(Manager_Reports!$K:$K,Manager_Reports!$A:$A,Dashboard!$B$2,Manager_Reports!$C:$C,$B31))</x:f>
      </x:c>
      <x:c r="L31" s="5">
        <x:f>IF($A31="","",SUMIFS(Manager_Reports!$L:$L,Manager_Reports!$A:$A,Dashboard!$B$2,Manager_Reports!$C:$C,$B31))</x:f>
      </x:c>
      <x:c r="M31" s="5">
        <x:f>IF($A31="","",SUMIFS(Manager_Reports!$M:$M,Manager_Reports!$A:$A,Dashboard!$B$2,Manager_Reports!$C:$C,$B31))</x:f>
      </x:c>
      <x:c r="N31" s="5">
        <x:f>IF($A31="","",SUMIFS(Manager_Reports!$N:$N,Manager_Reports!$A:$A,Dashboard!$B$2,Manager_Reports!$C:$C,$B31))</x:f>
      </x:c>
      <x:c r="O31" s="5">
        <x:f>IF($A31="","",SUMIFS(Manager_Reports!$O:$O,Manager_Reports!$A:$A,Dashboard!$B$2,Manager_Reports!$C:$C,$B31))</x:f>
      </x:c>
      <x:c r="P31" s="5">
        <x:f>IF($A31="","",SUMIFS(Manager_Reports!$P:$P,Manager_Reports!$A:$A,Dashboard!$B$2,Manager_Reports!$C:$C,$B31))</x:f>
      </x:c>
      <x:c r="Q31" s="5">
        <x:f>IF($A31="","",SUMIFS(Manager_Reports!$Q:$Q,Manager_Reports!$A:$A,Dashboard!$B$2,Manager_Reports!$C:$C,$B31))</x:f>
      </x:c>
    </x:row>
    <x:row r="32">
      <x:c r="A32" s="5">
        <x:f>Settings!A32</x:f>
        <x:v>0</x:v>
      </x:c>
      <x:c r="B32" s="5">
        <x:f>Settings!B32</x:f>
        <x:v>0</x:v>
      </x:c>
      <x:c r="C32" s="5">
        <x:f>Settings!C32</x:f>
        <x:v>0</x:v>
      </x:c>
      <x:c r="D32" s="5">
        <x:f>IF($A32="","",COUNTIFS(Manager_Reports!$A:$A,Dashboard!$B$2,Manager_Reports!$C:$C,$B32))</x:f>
      </x:c>
      <x:c r="E32" s="5">
        <x:f>IF($A32="","",IFERROR(LOOKUP(2,1/((Manager_Reports!$A:$A=Dashboard!$B$2)*(Manager_Reports!$C:$C=$B32)),Manager_Reports!$T:$T),""))</x:f>
      </x:c>
      <x:c r="F32" s="5">
        <x:f>IF($A32="","",SUMIFS(Manager_Reports!$F:$F,Manager_Reports!$A:$A,Dashboard!$B$2,Manager_Reports!$C:$C,$B32))</x:f>
      </x:c>
      <x:c r="G32" s="5">
        <x:f>IF($A32="","",SUMIFS(Manager_Reports!$G:$G,Manager_Reports!$A:$A,Dashboard!$B$2,Manager_Reports!$C:$C,$B32))</x:f>
      </x:c>
      <x:c r="H32" s="5">
        <x:f>IF($A32="","",SUMIFS(Manager_Reports!$H:$H,Manager_Reports!$A:$A,Dashboard!$B$2,Manager_Reports!$C:$C,$B32))</x:f>
      </x:c>
      <x:c r="I32" s="5">
        <x:f>IF($A32="","",SUMIFS(Manager_Reports!$I:$I,Manager_Reports!$A:$A,Dashboard!$B$2,Manager_Reports!$C:$C,$B32))</x:f>
      </x:c>
      <x:c r="J32" s="5">
        <x:f>IF($A32="","",SUMIFS(Manager_Reports!$J:$J,Manager_Reports!$A:$A,Dashboard!$B$2,Manager_Reports!$C:$C,$B32))</x:f>
      </x:c>
      <x:c r="K32" s="5">
        <x:f>IF($A32="","",SUMIFS(Manager_Reports!$K:$K,Manager_Reports!$A:$A,Dashboard!$B$2,Manager_Reports!$C:$C,$B32))</x:f>
      </x:c>
      <x:c r="L32" s="5">
        <x:f>IF($A32="","",SUMIFS(Manager_Reports!$L:$L,Manager_Reports!$A:$A,Dashboard!$B$2,Manager_Reports!$C:$C,$B32))</x:f>
      </x:c>
      <x:c r="M32" s="5">
        <x:f>IF($A32="","",SUMIFS(Manager_Reports!$M:$M,Manager_Reports!$A:$A,Dashboard!$B$2,Manager_Reports!$C:$C,$B32))</x:f>
      </x:c>
      <x:c r="N32" s="5">
        <x:f>IF($A32="","",SUMIFS(Manager_Reports!$N:$N,Manager_Reports!$A:$A,Dashboard!$B$2,Manager_Reports!$C:$C,$B32))</x:f>
      </x:c>
      <x:c r="O32" s="5">
        <x:f>IF($A32="","",SUMIFS(Manager_Reports!$O:$O,Manager_Reports!$A:$A,Dashboard!$B$2,Manager_Reports!$C:$C,$B32))</x:f>
      </x:c>
      <x:c r="P32" s="5">
        <x:f>IF($A32="","",SUMIFS(Manager_Reports!$P:$P,Manager_Reports!$A:$A,Dashboard!$B$2,Manager_Reports!$C:$C,$B32))</x:f>
      </x:c>
      <x:c r="Q32" s="5">
        <x:f>IF($A32="","",SUMIFS(Manager_Reports!$Q:$Q,Manager_Reports!$A:$A,Dashboard!$B$2,Manager_Reports!$C:$C,$B32))</x:f>
      </x:c>
    </x:row>
    <x:row r="33">
      <x:c r="A33" s="5">
        <x:f>Settings!A33</x:f>
        <x:v>0</x:v>
      </x:c>
      <x:c r="B33" s="5">
        <x:f>Settings!B33</x:f>
        <x:v>0</x:v>
      </x:c>
      <x:c r="C33" s="5">
        <x:f>Settings!C33</x:f>
        <x:v>0</x:v>
      </x:c>
      <x:c r="D33" s="5">
        <x:f>IF($A33="","",COUNTIFS(Manager_Reports!$A:$A,Dashboard!$B$2,Manager_Reports!$C:$C,$B33))</x:f>
      </x:c>
      <x:c r="E33" s="5">
        <x:f>IF($A33="","",IFERROR(LOOKUP(2,1/((Manager_Reports!$A:$A=Dashboard!$B$2)*(Manager_Reports!$C:$C=$B33)),Manager_Reports!$T:$T),""))</x:f>
      </x:c>
      <x:c r="F33" s="5">
        <x:f>IF($A33="","",SUMIFS(Manager_Reports!$F:$F,Manager_Reports!$A:$A,Dashboard!$B$2,Manager_Reports!$C:$C,$B33))</x:f>
      </x:c>
      <x:c r="G33" s="5">
        <x:f>IF($A33="","",SUMIFS(Manager_Reports!$G:$G,Manager_Reports!$A:$A,Dashboard!$B$2,Manager_Reports!$C:$C,$B33))</x:f>
      </x:c>
      <x:c r="H33" s="5">
        <x:f>IF($A33="","",SUMIFS(Manager_Reports!$H:$H,Manager_Reports!$A:$A,Dashboard!$B$2,Manager_Reports!$C:$C,$B33))</x:f>
      </x:c>
      <x:c r="I33" s="5">
        <x:f>IF($A33="","",SUMIFS(Manager_Reports!$I:$I,Manager_Reports!$A:$A,Dashboard!$B$2,Manager_Reports!$C:$C,$B33))</x:f>
      </x:c>
      <x:c r="J33" s="5">
        <x:f>IF($A33="","",SUMIFS(Manager_Reports!$J:$J,Manager_Reports!$A:$A,Dashboard!$B$2,Manager_Reports!$C:$C,$B33))</x:f>
      </x:c>
      <x:c r="K33" s="5">
        <x:f>IF($A33="","",SUMIFS(Manager_Reports!$K:$K,Manager_Reports!$A:$A,Dashboard!$B$2,Manager_Reports!$C:$C,$B33))</x:f>
      </x:c>
      <x:c r="L33" s="5">
        <x:f>IF($A33="","",SUMIFS(Manager_Reports!$L:$L,Manager_Reports!$A:$A,Dashboard!$B$2,Manager_Reports!$C:$C,$B33))</x:f>
      </x:c>
      <x:c r="M33" s="5">
        <x:f>IF($A33="","",SUMIFS(Manager_Reports!$M:$M,Manager_Reports!$A:$A,Dashboard!$B$2,Manager_Reports!$C:$C,$B33))</x:f>
      </x:c>
      <x:c r="N33" s="5">
        <x:f>IF($A33="","",SUMIFS(Manager_Reports!$N:$N,Manager_Reports!$A:$A,Dashboard!$B$2,Manager_Reports!$C:$C,$B33))</x:f>
      </x:c>
      <x:c r="O33" s="5">
        <x:f>IF($A33="","",SUMIFS(Manager_Reports!$O:$O,Manager_Reports!$A:$A,Dashboard!$B$2,Manager_Reports!$C:$C,$B33))</x:f>
      </x:c>
      <x:c r="P33" s="5">
        <x:f>IF($A33="","",SUMIFS(Manager_Reports!$P:$P,Manager_Reports!$A:$A,Dashboard!$B$2,Manager_Reports!$C:$C,$B33))</x:f>
      </x:c>
      <x:c r="Q33" s="5">
        <x:f>IF($A33="","",SUMIFS(Manager_Reports!$Q:$Q,Manager_Reports!$A:$A,Dashboard!$B$2,Manager_Reports!$C:$C,$B33))</x:f>
      </x:c>
    </x:row>
    <x:row r="34">
      <x:c r="A34" s="5">
        <x:f>Settings!A34</x:f>
        <x:v>0</x:v>
      </x:c>
      <x:c r="B34" s="5">
        <x:f>Settings!B34</x:f>
        <x:v>0</x:v>
      </x:c>
      <x:c r="C34" s="5">
        <x:f>Settings!C34</x:f>
        <x:v>0</x:v>
      </x:c>
      <x:c r="D34" s="5">
        <x:f>IF($A34="","",COUNTIFS(Manager_Reports!$A:$A,Dashboard!$B$2,Manager_Reports!$C:$C,$B34))</x:f>
      </x:c>
      <x:c r="E34" s="5">
        <x:f>IF($A34="","",IFERROR(LOOKUP(2,1/((Manager_Reports!$A:$A=Dashboard!$B$2)*(Manager_Reports!$C:$C=$B34)),Manager_Reports!$T:$T),""))</x:f>
      </x:c>
      <x:c r="F34" s="5">
        <x:f>IF($A34="","",SUMIFS(Manager_Reports!$F:$F,Manager_Reports!$A:$A,Dashboard!$B$2,Manager_Reports!$C:$C,$B34))</x:f>
      </x:c>
      <x:c r="G34" s="5">
        <x:f>IF($A34="","",SUMIFS(Manager_Reports!$G:$G,Manager_Reports!$A:$A,Dashboard!$B$2,Manager_Reports!$C:$C,$B34))</x:f>
      </x:c>
      <x:c r="H34" s="5">
        <x:f>IF($A34="","",SUMIFS(Manager_Reports!$H:$H,Manager_Reports!$A:$A,Dashboard!$B$2,Manager_Reports!$C:$C,$B34))</x:f>
      </x:c>
      <x:c r="I34" s="5">
        <x:f>IF($A34="","",SUMIFS(Manager_Reports!$I:$I,Manager_Reports!$A:$A,Dashboard!$B$2,Manager_Reports!$C:$C,$B34))</x:f>
      </x:c>
      <x:c r="J34" s="5">
        <x:f>IF($A34="","",SUMIFS(Manager_Reports!$J:$J,Manager_Reports!$A:$A,Dashboard!$B$2,Manager_Reports!$C:$C,$B34))</x:f>
      </x:c>
      <x:c r="K34" s="5">
        <x:f>IF($A34="","",SUMIFS(Manager_Reports!$K:$K,Manager_Reports!$A:$A,Dashboard!$B$2,Manager_Reports!$C:$C,$B34))</x:f>
      </x:c>
      <x:c r="L34" s="5">
        <x:f>IF($A34="","",SUMIFS(Manager_Reports!$L:$L,Manager_Reports!$A:$A,Dashboard!$B$2,Manager_Reports!$C:$C,$B34))</x:f>
      </x:c>
      <x:c r="M34" s="5">
        <x:f>IF($A34="","",SUMIFS(Manager_Reports!$M:$M,Manager_Reports!$A:$A,Dashboard!$B$2,Manager_Reports!$C:$C,$B34))</x:f>
      </x:c>
      <x:c r="N34" s="5">
        <x:f>IF($A34="","",SUMIFS(Manager_Reports!$N:$N,Manager_Reports!$A:$A,Dashboard!$B$2,Manager_Reports!$C:$C,$B34))</x:f>
      </x:c>
      <x:c r="O34" s="5">
        <x:f>IF($A34="","",SUMIFS(Manager_Reports!$O:$O,Manager_Reports!$A:$A,Dashboard!$B$2,Manager_Reports!$C:$C,$B34))</x:f>
      </x:c>
      <x:c r="P34" s="5">
        <x:f>IF($A34="","",SUMIFS(Manager_Reports!$P:$P,Manager_Reports!$A:$A,Dashboard!$B$2,Manager_Reports!$C:$C,$B34))</x:f>
      </x:c>
      <x:c r="Q34" s="5">
        <x:f>IF($A34="","",SUMIFS(Manager_Reports!$Q:$Q,Manager_Reports!$A:$A,Dashboard!$B$2,Manager_Reports!$C:$C,$B34))</x:f>
      </x:c>
    </x:row>
    <x:row r="35">
      <x:c r="A35" s="5">
        <x:f>Settings!A35</x:f>
        <x:v>0</x:v>
      </x:c>
      <x:c r="B35" s="5">
        <x:f>Settings!B35</x:f>
        <x:v>0</x:v>
      </x:c>
      <x:c r="C35" s="5">
        <x:f>Settings!C35</x:f>
        <x:v>0</x:v>
      </x:c>
      <x:c r="D35" s="5">
        <x:f>IF($A35="","",COUNTIFS(Manager_Reports!$A:$A,Dashboard!$B$2,Manager_Reports!$C:$C,$B35))</x:f>
      </x:c>
      <x:c r="E35" s="5">
        <x:f>IF($A35="","",IFERROR(LOOKUP(2,1/((Manager_Reports!$A:$A=Dashboard!$B$2)*(Manager_Reports!$C:$C=$B35)),Manager_Reports!$T:$T),""))</x:f>
      </x:c>
      <x:c r="F35" s="5">
        <x:f>IF($A35="","",SUMIFS(Manager_Reports!$F:$F,Manager_Reports!$A:$A,Dashboard!$B$2,Manager_Reports!$C:$C,$B35))</x:f>
      </x:c>
      <x:c r="G35" s="5">
        <x:f>IF($A35="","",SUMIFS(Manager_Reports!$G:$G,Manager_Reports!$A:$A,Dashboard!$B$2,Manager_Reports!$C:$C,$B35))</x:f>
      </x:c>
      <x:c r="H35" s="5">
        <x:f>IF($A35="","",SUMIFS(Manager_Reports!$H:$H,Manager_Reports!$A:$A,Dashboard!$B$2,Manager_Reports!$C:$C,$B35))</x:f>
      </x:c>
      <x:c r="I35" s="5">
        <x:f>IF($A35="","",SUMIFS(Manager_Reports!$I:$I,Manager_Reports!$A:$A,Dashboard!$B$2,Manager_Reports!$C:$C,$B35))</x:f>
      </x:c>
      <x:c r="J35" s="5">
        <x:f>IF($A35="","",SUMIFS(Manager_Reports!$J:$J,Manager_Reports!$A:$A,Dashboard!$B$2,Manager_Reports!$C:$C,$B35))</x:f>
      </x:c>
      <x:c r="K35" s="5">
        <x:f>IF($A35="","",SUMIFS(Manager_Reports!$K:$K,Manager_Reports!$A:$A,Dashboard!$B$2,Manager_Reports!$C:$C,$B35))</x:f>
      </x:c>
      <x:c r="L35" s="5">
        <x:f>IF($A35="","",SUMIFS(Manager_Reports!$L:$L,Manager_Reports!$A:$A,Dashboard!$B$2,Manager_Reports!$C:$C,$B35))</x:f>
      </x:c>
      <x:c r="M35" s="5">
        <x:f>IF($A35="","",SUMIFS(Manager_Reports!$M:$M,Manager_Reports!$A:$A,Dashboard!$B$2,Manager_Reports!$C:$C,$B35))</x:f>
      </x:c>
      <x:c r="N35" s="5">
        <x:f>IF($A35="","",SUMIFS(Manager_Reports!$N:$N,Manager_Reports!$A:$A,Dashboard!$B$2,Manager_Reports!$C:$C,$B35))</x:f>
      </x:c>
      <x:c r="O35" s="5">
        <x:f>IF($A35="","",SUMIFS(Manager_Reports!$O:$O,Manager_Reports!$A:$A,Dashboard!$B$2,Manager_Reports!$C:$C,$B35))</x:f>
      </x:c>
      <x:c r="P35" s="5">
        <x:f>IF($A35="","",SUMIFS(Manager_Reports!$P:$P,Manager_Reports!$A:$A,Dashboard!$B$2,Manager_Reports!$C:$C,$B35))</x:f>
      </x:c>
      <x:c r="Q35" s="5">
        <x:f>IF($A35="","",SUMIFS(Manager_Reports!$Q:$Q,Manager_Reports!$A:$A,Dashboard!$B$2,Manager_Reports!$C:$C,$B35))</x:f>
      </x:c>
    </x:row>
    <x:row r="36">
      <x:c r="A36" s="5">
        <x:f>Settings!A36</x:f>
        <x:v>0</x:v>
      </x:c>
      <x:c r="B36" s="5">
        <x:f>Settings!B36</x:f>
        <x:v>0</x:v>
      </x:c>
      <x:c r="C36" s="5">
        <x:f>Settings!C36</x:f>
        <x:v>0</x:v>
      </x:c>
      <x:c r="D36" s="5">
        <x:f>IF($A36="","",COUNTIFS(Manager_Reports!$A:$A,Dashboard!$B$2,Manager_Reports!$C:$C,$B36))</x:f>
      </x:c>
      <x:c r="E36" s="5">
        <x:f>IF($A36="","",IFERROR(LOOKUP(2,1/((Manager_Reports!$A:$A=Dashboard!$B$2)*(Manager_Reports!$C:$C=$B36)),Manager_Reports!$T:$T),""))</x:f>
      </x:c>
      <x:c r="F36" s="5">
        <x:f>IF($A36="","",SUMIFS(Manager_Reports!$F:$F,Manager_Reports!$A:$A,Dashboard!$B$2,Manager_Reports!$C:$C,$B36))</x:f>
      </x:c>
      <x:c r="G36" s="5">
        <x:f>IF($A36="","",SUMIFS(Manager_Reports!$G:$G,Manager_Reports!$A:$A,Dashboard!$B$2,Manager_Reports!$C:$C,$B36))</x:f>
      </x:c>
      <x:c r="H36" s="5">
        <x:f>IF($A36="","",SUMIFS(Manager_Reports!$H:$H,Manager_Reports!$A:$A,Dashboard!$B$2,Manager_Reports!$C:$C,$B36))</x:f>
      </x:c>
      <x:c r="I36" s="5">
        <x:f>IF($A36="","",SUMIFS(Manager_Reports!$I:$I,Manager_Reports!$A:$A,Dashboard!$B$2,Manager_Reports!$C:$C,$B36))</x:f>
      </x:c>
      <x:c r="J36" s="5">
        <x:f>IF($A36="","",SUMIFS(Manager_Reports!$J:$J,Manager_Reports!$A:$A,Dashboard!$B$2,Manager_Reports!$C:$C,$B36))</x:f>
      </x:c>
      <x:c r="K36" s="5">
        <x:f>IF($A36="","",SUMIFS(Manager_Reports!$K:$K,Manager_Reports!$A:$A,Dashboard!$B$2,Manager_Reports!$C:$C,$B36))</x:f>
      </x:c>
      <x:c r="L36" s="5">
        <x:f>IF($A36="","",SUMIFS(Manager_Reports!$L:$L,Manager_Reports!$A:$A,Dashboard!$B$2,Manager_Reports!$C:$C,$B36))</x:f>
      </x:c>
      <x:c r="M36" s="5">
        <x:f>IF($A36="","",SUMIFS(Manager_Reports!$M:$M,Manager_Reports!$A:$A,Dashboard!$B$2,Manager_Reports!$C:$C,$B36))</x:f>
      </x:c>
      <x:c r="N36" s="5">
        <x:f>IF($A36="","",SUMIFS(Manager_Reports!$N:$N,Manager_Reports!$A:$A,Dashboard!$B$2,Manager_Reports!$C:$C,$B36))</x:f>
      </x:c>
      <x:c r="O36" s="5">
        <x:f>IF($A36="","",SUMIFS(Manager_Reports!$O:$O,Manager_Reports!$A:$A,Dashboard!$B$2,Manager_Reports!$C:$C,$B36))</x:f>
      </x:c>
      <x:c r="P36" s="5">
        <x:f>IF($A36="","",SUMIFS(Manager_Reports!$P:$P,Manager_Reports!$A:$A,Dashboard!$B$2,Manager_Reports!$C:$C,$B36))</x:f>
      </x:c>
      <x:c r="Q36" s="5">
        <x:f>IF($A36="","",SUMIFS(Manager_Reports!$Q:$Q,Manager_Reports!$A:$A,Dashboard!$B$2,Manager_Reports!$C:$C,$B36))</x:f>
      </x:c>
    </x:row>
    <x:row r="37">
      <x:c r="A37" s="5">
        <x:f>Settings!A37</x:f>
        <x:v>0</x:v>
      </x:c>
      <x:c r="B37" s="5">
        <x:f>Settings!B37</x:f>
        <x:v>0</x:v>
      </x:c>
      <x:c r="C37" s="5">
        <x:f>Settings!C37</x:f>
        <x:v>0</x:v>
      </x:c>
      <x:c r="D37" s="5">
        <x:f>IF($A37="","",COUNTIFS(Manager_Reports!$A:$A,Dashboard!$B$2,Manager_Reports!$C:$C,$B37))</x:f>
      </x:c>
      <x:c r="E37" s="5">
        <x:f>IF($A37="","",IFERROR(LOOKUP(2,1/((Manager_Reports!$A:$A=Dashboard!$B$2)*(Manager_Reports!$C:$C=$B37)),Manager_Reports!$T:$T),""))</x:f>
      </x:c>
      <x:c r="F37" s="5">
        <x:f>IF($A37="","",SUMIFS(Manager_Reports!$F:$F,Manager_Reports!$A:$A,Dashboard!$B$2,Manager_Reports!$C:$C,$B37))</x:f>
      </x:c>
      <x:c r="G37" s="5">
        <x:f>IF($A37="","",SUMIFS(Manager_Reports!$G:$G,Manager_Reports!$A:$A,Dashboard!$B$2,Manager_Reports!$C:$C,$B37))</x:f>
      </x:c>
      <x:c r="H37" s="5">
        <x:f>IF($A37="","",SUMIFS(Manager_Reports!$H:$H,Manager_Reports!$A:$A,Dashboard!$B$2,Manager_Reports!$C:$C,$B37))</x:f>
      </x:c>
      <x:c r="I37" s="5">
        <x:f>IF($A37="","",SUMIFS(Manager_Reports!$I:$I,Manager_Reports!$A:$A,Dashboard!$B$2,Manager_Reports!$C:$C,$B37))</x:f>
      </x:c>
      <x:c r="J37" s="5">
        <x:f>IF($A37="","",SUMIFS(Manager_Reports!$J:$J,Manager_Reports!$A:$A,Dashboard!$B$2,Manager_Reports!$C:$C,$B37))</x:f>
      </x:c>
      <x:c r="K37" s="5">
        <x:f>IF($A37="","",SUMIFS(Manager_Reports!$K:$K,Manager_Reports!$A:$A,Dashboard!$B$2,Manager_Reports!$C:$C,$B37))</x:f>
      </x:c>
      <x:c r="L37" s="5">
        <x:f>IF($A37="","",SUMIFS(Manager_Reports!$L:$L,Manager_Reports!$A:$A,Dashboard!$B$2,Manager_Reports!$C:$C,$B37))</x:f>
      </x:c>
      <x:c r="M37" s="5">
        <x:f>IF($A37="","",SUMIFS(Manager_Reports!$M:$M,Manager_Reports!$A:$A,Dashboard!$B$2,Manager_Reports!$C:$C,$B37))</x:f>
      </x:c>
      <x:c r="N37" s="5">
        <x:f>IF($A37="","",SUMIFS(Manager_Reports!$N:$N,Manager_Reports!$A:$A,Dashboard!$B$2,Manager_Reports!$C:$C,$B37))</x:f>
      </x:c>
      <x:c r="O37" s="5">
        <x:f>IF($A37="","",SUMIFS(Manager_Reports!$O:$O,Manager_Reports!$A:$A,Dashboard!$B$2,Manager_Reports!$C:$C,$B37))</x:f>
      </x:c>
      <x:c r="P37" s="5">
        <x:f>IF($A37="","",SUMIFS(Manager_Reports!$P:$P,Manager_Reports!$A:$A,Dashboard!$B$2,Manager_Reports!$C:$C,$B37))</x:f>
      </x:c>
      <x:c r="Q37" s="5">
        <x:f>IF($A37="","",SUMIFS(Manager_Reports!$Q:$Q,Manager_Reports!$A:$A,Dashboard!$B$2,Manager_Reports!$C:$C,$B37))</x:f>
      </x:c>
    </x:row>
    <x:row r="38">
      <x:c r="A38" s="5">
        <x:f>Settings!A38</x:f>
        <x:v>0</x:v>
      </x:c>
      <x:c r="B38" s="5">
        <x:f>Settings!B38</x:f>
        <x:v>0</x:v>
      </x:c>
      <x:c r="C38" s="5">
        <x:f>Settings!C38</x:f>
        <x:v>0</x:v>
      </x:c>
      <x:c r="D38" s="5">
        <x:f>IF($A38="","",COUNTIFS(Manager_Reports!$A:$A,Dashboard!$B$2,Manager_Reports!$C:$C,$B38))</x:f>
      </x:c>
      <x:c r="E38" s="5">
        <x:f>IF($A38="","",IFERROR(LOOKUP(2,1/((Manager_Reports!$A:$A=Dashboard!$B$2)*(Manager_Reports!$C:$C=$B38)),Manager_Reports!$T:$T),""))</x:f>
      </x:c>
      <x:c r="F38" s="5">
        <x:f>IF($A38="","",SUMIFS(Manager_Reports!$F:$F,Manager_Reports!$A:$A,Dashboard!$B$2,Manager_Reports!$C:$C,$B38))</x:f>
      </x:c>
      <x:c r="G38" s="5">
        <x:f>IF($A38="","",SUMIFS(Manager_Reports!$G:$G,Manager_Reports!$A:$A,Dashboard!$B$2,Manager_Reports!$C:$C,$B38))</x:f>
      </x:c>
      <x:c r="H38" s="5">
        <x:f>IF($A38="","",SUMIFS(Manager_Reports!$H:$H,Manager_Reports!$A:$A,Dashboard!$B$2,Manager_Reports!$C:$C,$B38))</x:f>
      </x:c>
      <x:c r="I38" s="5">
        <x:f>IF($A38="","",SUMIFS(Manager_Reports!$I:$I,Manager_Reports!$A:$A,Dashboard!$B$2,Manager_Reports!$C:$C,$B38))</x:f>
      </x:c>
      <x:c r="J38" s="5">
        <x:f>IF($A38="","",SUMIFS(Manager_Reports!$J:$J,Manager_Reports!$A:$A,Dashboard!$B$2,Manager_Reports!$C:$C,$B38))</x:f>
      </x:c>
      <x:c r="K38" s="5">
        <x:f>IF($A38="","",SUMIFS(Manager_Reports!$K:$K,Manager_Reports!$A:$A,Dashboard!$B$2,Manager_Reports!$C:$C,$B38))</x:f>
      </x:c>
      <x:c r="L38" s="5">
        <x:f>IF($A38="","",SUMIFS(Manager_Reports!$L:$L,Manager_Reports!$A:$A,Dashboard!$B$2,Manager_Reports!$C:$C,$B38))</x:f>
      </x:c>
      <x:c r="M38" s="5">
        <x:f>IF($A38="","",SUMIFS(Manager_Reports!$M:$M,Manager_Reports!$A:$A,Dashboard!$B$2,Manager_Reports!$C:$C,$B38))</x:f>
      </x:c>
      <x:c r="N38" s="5">
        <x:f>IF($A38="","",SUMIFS(Manager_Reports!$N:$N,Manager_Reports!$A:$A,Dashboard!$B$2,Manager_Reports!$C:$C,$B38))</x:f>
      </x:c>
      <x:c r="O38" s="5">
        <x:f>IF($A38="","",SUMIFS(Manager_Reports!$O:$O,Manager_Reports!$A:$A,Dashboard!$B$2,Manager_Reports!$C:$C,$B38))</x:f>
      </x:c>
      <x:c r="P38" s="5">
        <x:f>IF($A38="","",SUMIFS(Manager_Reports!$P:$P,Manager_Reports!$A:$A,Dashboard!$B$2,Manager_Reports!$C:$C,$B38))</x:f>
      </x:c>
      <x:c r="Q38" s="5">
        <x:f>IF($A38="","",SUMIFS(Manager_Reports!$Q:$Q,Manager_Reports!$A:$A,Dashboard!$B$2,Manager_Reports!$C:$C,$B38))</x:f>
      </x:c>
    </x:row>
    <x:row r="39">
      <x:c r="A39" s="5">
        <x:f>Settings!A39</x:f>
        <x:v>0</x:v>
      </x:c>
      <x:c r="B39" s="5">
        <x:f>Settings!B39</x:f>
        <x:v>0</x:v>
      </x:c>
      <x:c r="C39" s="5">
        <x:f>Settings!C39</x:f>
        <x:v>0</x:v>
      </x:c>
      <x:c r="D39" s="5">
        <x:f>IF($A39="","",COUNTIFS(Manager_Reports!$A:$A,Dashboard!$B$2,Manager_Reports!$C:$C,$B39))</x:f>
      </x:c>
      <x:c r="E39" s="5">
        <x:f>IF($A39="","",IFERROR(LOOKUP(2,1/((Manager_Reports!$A:$A=Dashboard!$B$2)*(Manager_Reports!$C:$C=$B39)),Manager_Reports!$T:$T),""))</x:f>
      </x:c>
      <x:c r="F39" s="5">
        <x:f>IF($A39="","",SUMIFS(Manager_Reports!$F:$F,Manager_Reports!$A:$A,Dashboard!$B$2,Manager_Reports!$C:$C,$B39))</x:f>
      </x:c>
      <x:c r="G39" s="5">
        <x:f>IF($A39="","",SUMIFS(Manager_Reports!$G:$G,Manager_Reports!$A:$A,Dashboard!$B$2,Manager_Reports!$C:$C,$B39))</x:f>
      </x:c>
      <x:c r="H39" s="5">
        <x:f>IF($A39="","",SUMIFS(Manager_Reports!$H:$H,Manager_Reports!$A:$A,Dashboard!$B$2,Manager_Reports!$C:$C,$B39))</x:f>
      </x:c>
      <x:c r="I39" s="5">
        <x:f>IF($A39="","",SUMIFS(Manager_Reports!$I:$I,Manager_Reports!$A:$A,Dashboard!$B$2,Manager_Reports!$C:$C,$B39))</x:f>
      </x:c>
      <x:c r="J39" s="5">
        <x:f>IF($A39="","",SUMIFS(Manager_Reports!$J:$J,Manager_Reports!$A:$A,Dashboard!$B$2,Manager_Reports!$C:$C,$B39))</x:f>
      </x:c>
      <x:c r="K39" s="5">
        <x:f>IF($A39="","",SUMIFS(Manager_Reports!$K:$K,Manager_Reports!$A:$A,Dashboard!$B$2,Manager_Reports!$C:$C,$B39))</x:f>
      </x:c>
      <x:c r="L39" s="5">
        <x:f>IF($A39="","",SUMIFS(Manager_Reports!$L:$L,Manager_Reports!$A:$A,Dashboard!$B$2,Manager_Reports!$C:$C,$B39))</x:f>
      </x:c>
      <x:c r="M39" s="5">
        <x:f>IF($A39="","",SUMIFS(Manager_Reports!$M:$M,Manager_Reports!$A:$A,Dashboard!$B$2,Manager_Reports!$C:$C,$B39))</x:f>
      </x:c>
      <x:c r="N39" s="5">
        <x:f>IF($A39="","",SUMIFS(Manager_Reports!$N:$N,Manager_Reports!$A:$A,Dashboard!$B$2,Manager_Reports!$C:$C,$B39))</x:f>
      </x:c>
      <x:c r="O39" s="5">
        <x:f>IF($A39="","",SUMIFS(Manager_Reports!$O:$O,Manager_Reports!$A:$A,Dashboard!$B$2,Manager_Reports!$C:$C,$B39))</x:f>
      </x:c>
      <x:c r="P39" s="5">
        <x:f>IF($A39="","",SUMIFS(Manager_Reports!$P:$P,Manager_Reports!$A:$A,Dashboard!$B$2,Manager_Reports!$C:$C,$B39))</x:f>
      </x:c>
      <x:c r="Q39" s="5">
        <x:f>IF($A39="","",SUMIFS(Manager_Reports!$Q:$Q,Manager_Reports!$A:$A,Dashboard!$B$2,Manager_Reports!$C:$C,$B39))</x:f>
      </x:c>
    </x:row>
    <x:row r="40">
      <x:c r="A40" s="5">
        <x:f>Settings!A40</x:f>
        <x:v>0</x:v>
      </x:c>
      <x:c r="B40" s="5">
        <x:f>Settings!B40</x:f>
        <x:v>0</x:v>
      </x:c>
      <x:c r="C40" s="5">
        <x:f>Settings!C40</x:f>
        <x:v>0</x:v>
      </x:c>
      <x:c r="D40" s="5">
        <x:f>IF($A40="","",COUNTIFS(Manager_Reports!$A:$A,Dashboard!$B$2,Manager_Reports!$C:$C,$B40))</x:f>
      </x:c>
      <x:c r="E40" s="5">
        <x:f>IF($A40="","",IFERROR(LOOKUP(2,1/((Manager_Reports!$A:$A=Dashboard!$B$2)*(Manager_Reports!$C:$C=$B40)),Manager_Reports!$T:$T),""))</x:f>
      </x:c>
      <x:c r="F40" s="5">
        <x:f>IF($A40="","",SUMIFS(Manager_Reports!$F:$F,Manager_Reports!$A:$A,Dashboard!$B$2,Manager_Reports!$C:$C,$B40))</x:f>
      </x:c>
      <x:c r="G40" s="5">
        <x:f>IF($A40="","",SUMIFS(Manager_Reports!$G:$G,Manager_Reports!$A:$A,Dashboard!$B$2,Manager_Reports!$C:$C,$B40))</x:f>
      </x:c>
      <x:c r="H40" s="5">
        <x:f>IF($A40="","",SUMIFS(Manager_Reports!$H:$H,Manager_Reports!$A:$A,Dashboard!$B$2,Manager_Reports!$C:$C,$B40))</x:f>
      </x:c>
      <x:c r="I40" s="5">
        <x:f>IF($A40="","",SUMIFS(Manager_Reports!$I:$I,Manager_Reports!$A:$A,Dashboard!$B$2,Manager_Reports!$C:$C,$B40))</x:f>
      </x:c>
      <x:c r="J40" s="5">
        <x:f>IF($A40="","",SUMIFS(Manager_Reports!$J:$J,Manager_Reports!$A:$A,Dashboard!$B$2,Manager_Reports!$C:$C,$B40))</x:f>
      </x:c>
      <x:c r="K40" s="5">
        <x:f>IF($A40="","",SUMIFS(Manager_Reports!$K:$K,Manager_Reports!$A:$A,Dashboard!$B$2,Manager_Reports!$C:$C,$B40))</x:f>
      </x:c>
      <x:c r="L40" s="5">
        <x:f>IF($A40="","",SUMIFS(Manager_Reports!$L:$L,Manager_Reports!$A:$A,Dashboard!$B$2,Manager_Reports!$C:$C,$B40))</x:f>
      </x:c>
      <x:c r="M40" s="5">
        <x:f>IF($A40="","",SUMIFS(Manager_Reports!$M:$M,Manager_Reports!$A:$A,Dashboard!$B$2,Manager_Reports!$C:$C,$B40))</x:f>
      </x:c>
      <x:c r="N40" s="5">
        <x:f>IF($A40="","",SUMIFS(Manager_Reports!$N:$N,Manager_Reports!$A:$A,Dashboard!$B$2,Manager_Reports!$C:$C,$B40))</x:f>
      </x:c>
      <x:c r="O40" s="5">
        <x:f>IF($A40="","",SUMIFS(Manager_Reports!$O:$O,Manager_Reports!$A:$A,Dashboard!$B$2,Manager_Reports!$C:$C,$B40))</x:f>
      </x:c>
      <x:c r="P40" s="5">
        <x:f>IF($A40="","",SUMIFS(Manager_Reports!$P:$P,Manager_Reports!$A:$A,Dashboard!$B$2,Manager_Reports!$C:$C,$B40))</x:f>
      </x:c>
      <x:c r="Q40" s="5">
        <x:f>IF($A40="","",SUMIFS(Manager_Reports!$Q:$Q,Manager_Reports!$A:$A,Dashboard!$B$2,Manager_Reports!$C:$C,$B40))</x:f>
      </x:c>
    </x:row>
    <x:row r="41">
      <x:c r="A41" s="5">
        <x:f>Settings!A41</x:f>
        <x:v>0</x:v>
      </x:c>
      <x:c r="B41" s="5">
        <x:f>Settings!B41</x:f>
        <x:v>0</x:v>
      </x:c>
      <x:c r="C41" s="5">
        <x:f>Settings!C41</x:f>
        <x:v>0</x:v>
      </x:c>
      <x:c r="D41" s="5">
        <x:f>IF($A41="","",COUNTIFS(Manager_Reports!$A:$A,Dashboard!$B$2,Manager_Reports!$C:$C,$B41))</x:f>
      </x:c>
      <x:c r="E41" s="5">
        <x:f>IF($A41="","",IFERROR(LOOKUP(2,1/((Manager_Reports!$A:$A=Dashboard!$B$2)*(Manager_Reports!$C:$C=$B41)),Manager_Reports!$T:$T),""))</x:f>
      </x:c>
      <x:c r="F41" s="5">
        <x:f>IF($A41="","",SUMIFS(Manager_Reports!$F:$F,Manager_Reports!$A:$A,Dashboard!$B$2,Manager_Reports!$C:$C,$B41))</x:f>
      </x:c>
      <x:c r="G41" s="5">
        <x:f>IF($A41="","",SUMIFS(Manager_Reports!$G:$G,Manager_Reports!$A:$A,Dashboard!$B$2,Manager_Reports!$C:$C,$B41))</x:f>
      </x:c>
      <x:c r="H41" s="5">
        <x:f>IF($A41="","",SUMIFS(Manager_Reports!$H:$H,Manager_Reports!$A:$A,Dashboard!$B$2,Manager_Reports!$C:$C,$B41))</x:f>
      </x:c>
      <x:c r="I41" s="5">
        <x:f>IF($A41="","",SUMIFS(Manager_Reports!$I:$I,Manager_Reports!$A:$A,Dashboard!$B$2,Manager_Reports!$C:$C,$B41))</x:f>
      </x:c>
      <x:c r="J41" s="5">
        <x:f>IF($A41="","",SUMIFS(Manager_Reports!$J:$J,Manager_Reports!$A:$A,Dashboard!$B$2,Manager_Reports!$C:$C,$B41))</x:f>
      </x:c>
      <x:c r="K41" s="5">
        <x:f>IF($A41="","",SUMIFS(Manager_Reports!$K:$K,Manager_Reports!$A:$A,Dashboard!$B$2,Manager_Reports!$C:$C,$B41))</x:f>
      </x:c>
      <x:c r="L41" s="5">
        <x:f>IF($A41="","",SUMIFS(Manager_Reports!$L:$L,Manager_Reports!$A:$A,Dashboard!$B$2,Manager_Reports!$C:$C,$B41))</x:f>
      </x:c>
      <x:c r="M41" s="5">
        <x:f>IF($A41="","",SUMIFS(Manager_Reports!$M:$M,Manager_Reports!$A:$A,Dashboard!$B$2,Manager_Reports!$C:$C,$B41))</x:f>
      </x:c>
      <x:c r="N41" s="5">
        <x:f>IF($A41="","",SUMIFS(Manager_Reports!$N:$N,Manager_Reports!$A:$A,Dashboard!$B$2,Manager_Reports!$C:$C,$B41))</x:f>
      </x:c>
      <x:c r="O41" s="5">
        <x:f>IF($A41="","",SUMIFS(Manager_Reports!$O:$O,Manager_Reports!$A:$A,Dashboard!$B$2,Manager_Reports!$C:$C,$B41))</x:f>
      </x:c>
      <x:c r="P41" s="5">
        <x:f>IF($A41="","",SUMIFS(Manager_Reports!$P:$P,Manager_Reports!$A:$A,Dashboard!$B$2,Manager_Reports!$C:$C,$B41))</x:f>
      </x:c>
      <x:c r="Q41" s="5">
        <x:f>IF($A41="","",SUMIFS(Manager_Reports!$Q:$Q,Manager_Reports!$A:$A,Dashboard!$B$2,Manager_Reports!$C:$C,$B41))</x:f>
      </x:c>
    </x:row>
    <x:row r="42">
      <x:c r="A42" s="5">
        <x:f>Settings!A42</x:f>
        <x:v>0</x:v>
      </x:c>
      <x:c r="B42" s="5">
        <x:f>Settings!B42</x:f>
        <x:v>0</x:v>
      </x:c>
      <x:c r="C42" s="5">
        <x:f>Settings!C42</x:f>
        <x:v>0</x:v>
      </x:c>
      <x:c r="D42" s="5">
        <x:f>IF($A42="","",COUNTIFS(Manager_Reports!$A:$A,Dashboard!$B$2,Manager_Reports!$C:$C,$B42))</x:f>
      </x:c>
      <x:c r="E42" s="5">
        <x:f>IF($A42="","",IFERROR(LOOKUP(2,1/((Manager_Reports!$A:$A=Dashboard!$B$2)*(Manager_Reports!$C:$C=$B42)),Manager_Reports!$T:$T),""))</x:f>
      </x:c>
      <x:c r="F42" s="5">
        <x:f>IF($A42="","",SUMIFS(Manager_Reports!$F:$F,Manager_Reports!$A:$A,Dashboard!$B$2,Manager_Reports!$C:$C,$B42))</x:f>
      </x:c>
      <x:c r="G42" s="5">
        <x:f>IF($A42="","",SUMIFS(Manager_Reports!$G:$G,Manager_Reports!$A:$A,Dashboard!$B$2,Manager_Reports!$C:$C,$B42))</x:f>
      </x:c>
      <x:c r="H42" s="5">
        <x:f>IF($A42="","",SUMIFS(Manager_Reports!$H:$H,Manager_Reports!$A:$A,Dashboard!$B$2,Manager_Reports!$C:$C,$B42))</x:f>
      </x:c>
      <x:c r="I42" s="5">
        <x:f>IF($A42="","",SUMIFS(Manager_Reports!$I:$I,Manager_Reports!$A:$A,Dashboard!$B$2,Manager_Reports!$C:$C,$B42))</x:f>
      </x:c>
      <x:c r="J42" s="5">
        <x:f>IF($A42="","",SUMIFS(Manager_Reports!$J:$J,Manager_Reports!$A:$A,Dashboard!$B$2,Manager_Reports!$C:$C,$B42))</x:f>
      </x:c>
      <x:c r="K42" s="5">
        <x:f>IF($A42="","",SUMIFS(Manager_Reports!$K:$K,Manager_Reports!$A:$A,Dashboard!$B$2,Manager_Reports!$C:$C,$B42))</x:f>
      </x:c>
      <x:c r="L42" s="5">
        <x:f>IF($A42="","",SUMIFS(Manager_Reports!$L:$L,Manager_Reports!$A:$A,Dashboard!$B$2,Manager_Reports!$C:$C,$B42))</x:f>
      </x:c>
      <x:c r="M42" s="5">
        <x:f>IF($A42="","",SUMIFS(Manager_Reports!$M:$M,Manager_Reports!$A:$A,Dashboard!$B$2,Manager_Reports!$C:$C,$B42))</x:f>
      </x:c>
      <x:c r="N42" s="5">
        <x:f>IF($A42="","",SUMIFS(Manager_Reports!$N:$N,Manager_Reports!$A:$A,Dashboard!$B$2,Manager_Reports!$C:$C,$B42))</x:f>
      </x:c>
      <x:c r="O42" s="5">
        <x:f>IF($A42="","",SUMIFS(Manager_Reports!$O:$O,Manager_Reports!$A:$A,Dashboard!$B$2,Manager_Reports!$C:$C,$B42))</x:f>
      </x:c>
      <x:c r="P42" s="5">
        <x:f>IF($A42="","",SUMIFS(Manager_Reports!$P:$P,Manager_Reports!$A:$A,Dashboard!$B$2,Manager_Reports!$C:$C,$B42))</x:f>
      </x:c>
      <x:c r="Q42" s="5">
        <x:f>IF($A42="","",SUMIFS(Manager_Reports!$Q:$Q,Manager_Reports!$A:$A,Dashboard!$B$2,Manager_Reports!$C:$C,$B42))</x:f>
      </x:c>
    </x:row>
    <x:row r="43">
      <x:c r="A43" s="5">
        <x:f>Settings!A43</x:f>
        <x:v>0</x:v>
      </x:c>
      <x:c r="B43" s="5">
        <x:f>Settings!B43</x:f>
        <x:v>0</x:v>
      </x:c>
      <x:c r="C43" s="5">
        <x:f>Settings!C43</x:f>
        <x:v>0</x:v>
      </x:c>
      <x:c r="D43" s="5">
        <x:f>IF($A43="","",COUNTIFS(Manager_Reports!$A:$A,Dashboard!$B$2,Manager_Reports!$C:$C,$B43))</x:f>
      </x:c>
      <x:c r="E43" s="5">
        <x:f>IF($A43="","",IFERROR(LOOKUP(2,1/((Manager_Reports!$A:$A=Dashboard!$B$2)*(Manager_Reports!$C:$C=$B43)),Manager_Reports!$T:$T),""))</x:f>
      </x:c>
      <x:c r="F43" s="5">
        <x:f>IF($A43="","",SUMIFS(Manager_Reports!$F:$F,Manager_Reports!$A:$A,Dashboard!$B$2,Manager_Reports!$C:$C,$B43))</x:f>
      </x:c>
      <x:c r="G43" s="5">
        <x:f>IF($A43="","",SUMIFS(Manager_Reports!$G:$G,Manager_Reports!$A:$A,Dashboard!$B$2,Manager_Reports!$C:$C,$B43))</x:f>
      </x:c>
      <x:c r="H43" s="5">
        <x:f>IF($A43="","",SUMIFS(Manager_Reports!$H:$H,Manager_Reports!$A:$A,Dashboard!$B$2,Manager_Reports!$C:$C,$B43))</x:f>
      </x:c>
      <x:c r="I43" s="5">
        <x:f>IF($A43="","",SUMIFS(Manager_Reports!$I:$I,Manager_Reports!$A:$A,Dashboard!$B$2,Manager_Reports!$C:$C,$B43))</x:f>
      </x:c>
      <x:c r="J43" s="5">
        <x:f>IF($A43="","",SUMIFS(Manager_Reports!$J:$J,Manager_Reports!$A:$A,Dashboard!$B$2,Manager_Reports!$C:$C,$B43))</x:f>
      </x:c>
      <x:c r="K43" s="5">
        <x:f>IF($A43="","",SUMIFS(Manager_Reports!$K:$K,Manager_Reports!$A:$A,Dashboard!$B$2,Manager_Reports!$C:$C,$B43))</x:f>
      </x:c>
      <x:c r="L43" s="5">
        <x:f>IF($A43="","",SUMIFS(Manager_Reports!$L:$L,Manager_Reports!$A:$A,Dashboard!$B$2,Manager_Reports!$C:$C,$B43))</x:f>
      </x:c>
      <x:c r="M43" s="5">
        <x:f>IF($A43="","",SUMIFS(Manager_Reports!$M:$M,Manager_Reports!$A:$A,Dashboard!$B$2,Manager_Reports!$C:$C,$B43))</x:f>
      </x:c>
      <x:c r="N43" s="5">
        <x:f>IF($A43="","",SUMIFS(Manager_Reports!$N:$N,Manager_Reports!$A:$A,Dashboard!$B$2,Manager_Reports!$C:$C,$B43))</x:f>
      </x:c>
      <x:c r="O43" s="5">
        <x:f>IF($A43="","",SUMIFS(Manager_Reports!$O:$O,Manager_Reports!$A:$A,Dashboard!$B$2,Manager_Reports!$C:$C,$B43))</x:f>
      </x:c>
      <x:c r="P43" s="5">
        <x:f>IF($A43="","",SUMIFS(Manager_Reports!$P:$P,Manager_Reports!$A:$A,Dashboard!$B$2,Manager_Reports!$C:$C,$B43))</x:f>
      </x:c>
      <x:c r="Q43" s="5">
        <x:f>IF($A43="","",SUMIFS(Manager_Reports!$Q:$Q,Manager_Reports!$A:$A,Dashboard!$B$2,Manager_Reports!$C:$C,$B43))</x:f>
      </x:c>
    </x:row>
    <x:row r="44">
      <x:c r="A44" s="5">
        <x:f>Settings!A44</x:f>
        <x:v>0</x:v>
      </x:c>
      <x:c r="B44" s="5">
        <x:f>Settings!B44</x:f>
        <x:v>0</x:v>
      </x:c>
      <x:c r="C44" s="5">
        <x:f>Settings!C44</x:f>
        <x:v>0</x:v>
      </x:c>
      <x:c r="D44" s="5">
        <x:f>IF($A44="","",COUNTIFS(Manager_Reports!$A:$A,Dashboard!$B$2,Manager_Reports!$C:$C,$B44))</x:f>
      </x:c>
      <x:c r="E44" s="5">
        <x:f>IF($A44="","",IFERROR(LOOKUP(2,1/((Manager_Reports!$A:$A=Dashboard!$B$2)*(Manager_Reports!$C:$C=$B44)),Manager_Reports!$T:$T),""))</x:f>
      </x:c>
      <x:c r="F44" s="5">
        <x:f>IF($A44="","",SUMIFS(Manager_Reports!$F:$F,Manager_Reports!$A:$A,Dashboard!$B$2,Manager_Reports!$C:$C,$B44))</x:f>
      </x:c>
      <x:c r="G44" s="5">
        <x:f>IF($A44="","",SUMIFS(Manager_Reports!$G:$G,Manager_Reports!$A:$A,Dashboard!$B$2,Manager_Reports!$C:$C,$B44))</x:f>
      </x:c>
      <x:c r="H44" s="5">
        <x:f>IF($A44="","",SUMIFS(Manager_Reports!$H:$H,Manager_Reports!$A:$A,Dashboard!$B$2,Manager_Reports!$C:$C,$B44))</x:f>
      </x:c>
      <x:c r="I44" s="5">
        <x:f>IF($A44="","",SUMIFS(Manager_Reports!$I:$I,Manager_Reports!$A:$A,Dashboard!$B$2,Manager_Reports!$C:$C,$B44))</x:f>
      </x:c>
      <x:c r="J44" s="5">
        <x:f>IF($A44="","",SUMIFS(Manager_Reports!$J:$J,Manager_Reports!$A:$A,Dashboard!$B$2,Manager_Reports!$C:$C,$B44))</x:f>
      </x:c>
      <x:c r="K44" s="5">
        <x:f>IF($A44="","",SUMIFS(Manager_Reports!$K:$K,Manager_Reports!$A:$A,Dashboard!$B$2,Manager_Reports!$C:$C,$B44))</x:f>
      </x:c>
      <x:c r="L44" s="5">
        <x:f>IF($A44="","",SUMIFS(Manager_Reports!$L:$L,Manager_Reports!$A:$A,Dashboard!$B$2,Manager_Reports!$C:$C,$B44))</x:f>
      </x:c>
      <x:c r="M44" s="5">
        <x:f>IF($A44="","",SUMIFS(Manager_Reports!$M:$M,Manager_Reports!$A:$A,Dashboard!$B$2,Manager_Reports!$C:$C,$B44))</x:f>
      </x:c>
      <x:c r="N44" s="5">
        <x:f>IF($A44="","",SUMIFS(Manager_Reports!$N:$N,Manager_Reports!$A:$A,Dashboard!$B$2,Manager_Reports!$C:$C,$B44))</x:f>
      </x:c>
      <x:c r="O44" s="5">
        <x:f>IF($A44="","",SUMIFS(Manager_Reports!$O:$O,Manager_Reports!$A:$A,Dashboard!$B$2,Manager_Reports!$C:$C,$B44))</x:f>
      </x:c>
      <x:c r="P44" s="5">
        <x:f>IF($A44="","",SUMIFS(Manager_Reports!$P:$P,Manager_Reports!$A:$A,Dashboard!$B$2,Manager_Reports!$C:$C,$B44))</x:f>
      </x:c>
      <x:c r="Q44" s="5">
        <x:f>IF($A44="","",SUMIFS(Manager_Reports!$Q:$Q,Manager_Reports!$A:$A,Dashboard!$B$2,Manager_Reports!$C:$C,$B44))</x:f>
      </x:c>
    </x:row>
    <x:row r="45">
      <x:c r="A45" s="5">
        <x:f>Settings!A45</x:f>
        <x:v>0</x:v>
      </x:c>
      <x:c r="B45" s="5">
        <x:f>Settings!B45</x:f>
        <x:v>0</x:v>
      </x:c>
      <x:c r="C45" s="5">
        <x:f>Settings!C45</x:f>
        <x:v>0</x:v>
      </x:c>
      <x:c r="D45" s="5">
        <x:f>IF($A45="","",COUNTIFS(Manager_Reports!$A:$A,Dashboard!$B$2,Manager_Reports!$C:$C,$B45))</x:f>
      </x:c>
      <x:c r="E45" s="5">
        <x:f>IF($A45="","",IFERROR(LOOKUP(2,1/((Manager_Reports!$A:$A=Dashboard!$B$2)*(Manager_Reports!$C:$C=$B45)),Manager_Reports!$T:$T),""))</x:f>
      </x:c>
      <x:c r="F45" s="5">
        <x:f>IF($A45="","",SUMIFS(Manager_Reports!$F:$F,Manager_Reports!$A:$A,Dashboard!$B$2,Manager_Reports!$C:$C,$B45))</x:f>
      </x:c>
      <x:c r="G45" s="5">
        <x:f>IF($A45="","",SUMIFS(Manager_Reports!$G:$G,Manager_Reports!$A:$A,Dashboard!$B$2,Manager_Reports!$C:$C,$B45))</x:f>
      </x:c>
      <x:c r="H45" s="5">
        <x:f>IF($A45="","",SUMIFS(Manager_Reports!$H:$H,Manager_Reports!$A:$A,Dashboard!$B$2,Manager_Reports!$C:$C,$B45))</x:f>
      </x:c>
      <x:c r="I45" s="5">
        <x:f>IF($A45="","",SUMIFS(Manager_Reports!$I:$I,Manager_Reports!$A:$A,Dashboard!$B$2,Manager_Reports!$C:$C,$B45))</x:f>
      </x:c>
      <x:c r="J45" s="5">
        <x:f>IF($A45="","",SUMIFS(Manager_Reports!$J:$J,Manager_Reports!$A:$A,Dashboard!$B$2,Manager_Reports!$C:$C,$B45))</x:f>
      </x:c>
      <x:c r="K45" s="5">
        <x:f>IF($A45="","",SUMIFS(Manager_Reports!$K:$K,Manager_Reports!$A:$A,Dashboard!$B$2,Manager_Reports!$C:$C,$B45))</x:f>
      </x:c>
      <x:c r="L45" s="5">
        <x:f>IF($A45="","",SUMIFS(Manager_Reports!$L:$L,Manager_Reports!$A:$A,Dashboard!$B$2,Manager_Reports!$C:$C,$B45))</x:f>
      </x:c>
      <x:c r="M45" s="5">
        <x:f>IF($A45="","",SUMIFS(Manager_Reports!$M:$M,Manager_Reports!$A:$A,Dashboard!$B$2,Manager_Reports!$C:$C,$B45))</x:f>
      </x:c>
      <x:c r="N45" s="5">
        <x:f>IF($A45="","",SUMIFS(Manager_Reports!$N:$N,Manager_Reports!$A:$A,Dashboard!$B$2,Manager_Reports!$C:$C,$B45))</x:f>
      </x:c>
      <x:c r="O45" s="5">
        <x:f>IF($A45="","",SUMIFS(Manager_Reports!$O:$O,Manager_Reports!$A:$A,Dashboard!$B$2,Manager_Reports!$C:$C,$B45))</x:f>
      </x:c>
      <x:c r="P45" s="5">
        <x:f>IF($A45="","",SUMIFS(Manager_Reports!$P:$P,Manager_Reports!$A:$A,Dashboard!$B$2,Manager_Reports!$C:$C,$B45))</x:f>
      </x:c>
      <x:c r="Q45" s="5">
        <x:f>IF($A45="","",SUMIFS(Manager_Reports!$Q:$Q,Manager_Reports!$A:$A,Dashboard!$B$2,Manager_Reports!$C:$C,$B45))</x:f>
      </x:c>
    </x:row>
    <x:row r="46">
      <x:c r="A46" s="5">
        <x:f>Settings!A46</x:f>
        <x:v>0</x:v>
      </x:c>
      <x:c r="B46" s="5">
        <x:f>Settings!B46</x:f>
        <x:v>0</x:v>
      </x:c>
      <x:c r="C46" s="5">
        <x:f>Settings!C46</x:f>
        <x:v>0</x:v>
      </x:c>
      <x:c r="D46" s="5">
        <x:f>IF($A46="","",COUNTIFS(Manager_Reports!$A:$A,Dashboard!$B$2,Manager_Reports!$C:$C,$B46))</x:f>
      </x:c>
      <x:c r="E46" s="5">
        <x:f>IF($A46="","",IFERROR(LOOKUP(2,1/((Manager_Reports!$A:$A=Dashboard!$B$2)*(Manager_Reports!$C:$C=$B46)),Manager_Reports!$T:$T),""))</x:f>
      </x:c>
      <x:c r="F46" s="5">
        <x:f>IF($A46="","",SUMIFS(Manager_Reports!$F:$F,Manager_Reports!$A:$A,Dashboard!$B$2,Manager_Reports!$C:$C,$B46))</x:f>
      </x:c>
      <x:c r="G46" s="5">
        <x:f>IF($A46="","",SUMIFS(Manager_Reports!$G:$G,Manager_Reports!$A:$A,Dashboard!$B$2,Manager_Reports!$C:$C,$B46))</x:f>
      </x:c>
      <x:c r="H46" s="5">
        <x:f>IF($A46="","",SUMIFS(Manager_Reports!$H:$H,Manager_Reports!$A:$A,Dashboard!$B$2,Manager_Reports!$C:$C,$B46))</x:f>
      </x:c>
      <x:c r="I46" s="5">
        <x:f>IF($A46="","",SUMIFS(Manager_Reports!$I:$I,Manager_Reports!$A:$A,Dashboard!$B$2,Manager_Reports!$C:$C,$B46))</x:f>
      </x:c>
      <x:c r="J46" s="5">
        <x:f>IF($A46="","",SUMIFS(Manager_Reports!$J:$J,Manager_Reports!$A:$A,Dashboard!$B$2,Manager_Reports!$C:$C,$B46))</x:f>
      </x:c>
      <x:c r="K46" s="5">
        <x:f>IF($A46="","",SUMIFS(Manager_Reports!$K:$K,Manager_Reports!$A:$A,Dashboard!$B$2,Manager_Reports!$C:$C,$B46))</x:f>
      </x:c>
      <x:c r="L46" s="5">
        <x:f>IF($A46="","",SUMIFS(Manager_Reports!$L:$L,Manager_Reports!$A:$A,Dashboard!$B$2,Manager_Reports!$C:$C,$B46))</x:f>
      </x:c>
      <x:c r="M46" s="5">
        <x:f>IF($A46="","",SUMIFS(Manager_Reports!$M:$M,Manager_Reports!$A:$A,Dashboard!$B$2,Manager_Reports!$C:$C,$B46))</x:f>
      </x:c>
      <x:c r="N46" s="5">
        <x:f>IF($A46="","",SUMIFS(Manager_Reports!$N:$N,Manager_Reports!$A:$A,Dashboard!$B$2,Manager_Reports!$C:$C,$B46))</x:f>
      </x:c>
      <x:c r="O46" s="5">
        <x:f>IF($A46="","",SUMIFS(Manager_Reports!$O:$O,Manager_Reports!$A:$A,Dashboard!$B$2,Manager_Reports!$C:$C,$B46))</x:f>
      </x:c>
      <x:c r="P46" s="5">
        <x:f>IF($A46="","",SUMIFS(Manager_Reports!$P:$P,Manager_Reports!$A:$A,Dashboard!$B$2,Manager_Reports!$C:$C,$B46))</x:f>
      </x:c>
      <x:c r="Q46" s="5">
        <x:f>IF($A46="","",SUMIFS(Manager_Reports!$Q:$Q,Manager_Reports!$A:$A,Dashboard!$B$2,Manager_Reports!$C:$C,$B46))</x:f>
      </x:c>
    </x:row>
    <x:row r="47">
      <x:c r="A47" s="5">
        <x:f>Settings!A47</x:f>
        <x:v>0</x:v>
      </x:c>
      <x:c r="B47" s="5">
        <x:f>Settings!B47</x:f>
        <x:v>0</x:v>
      </x:c>
      <x:c r="C47" s="5">
        <x:f>Settings!C47</x:f>
        <x:v>0</x:v>
      </x:c>
      <x:c r="D47" s="5">
        <x:f>IF($A47="","",COUNTIFS(Manager_Reports!$A:$A,Dashboard!$B$2,Manager_Reports!$C:$C,$B47))</x:f>
      </x:c>
      <x:c r="E47" s="5">
        <x:f>IF($A47="","",IFERROR(LOOKUP(2,1/((Manager_Reports!$A:$A=Dashboard!$B$2)*(Manager_Reports!$C:$C=$B47)),Manager_Reports!$T:$T),""))</x:f>
      </x:c>
      <x:c r="F47" s="5">
        <x:f>IF($A47="","",SUMIFS(Manager_Reports!$F:$F,Manager_Reports!$A:$A,Dashboard!$B$2,Manager_Reports!$C:$C,$B47))</x:f>
      </x:c>
      <x:c r="G47" s="5">
        <x:f>IF($A47="","",SUMIFS(Manager_Reports!$G:$G,Manager_Reports!$A:$A,Dashboard!$B$2,Manager_Reports!$C:$C,$B47))</x:f>
      </x:c>
      <x:c r="H47" s="5">
        <x:f>IF($A47="","",SUMIFS(Manager_Reports!$H:$H,Manager_Reports!$A:$A,Dashboard!$B$2,Manager_Reports!$C:$C,$B47))</x:f>
      </x:c>
      <x:c r="I47" s="5">
        <x:f>IF($A47="","",SUMIFS(Manager_Reports!$I:$I,Manager_Reports!$A:$A,Dashboard!$B$2,Manager_Reports!$C:$C,$B47))</x:f>
      </x:c>
      <x:c r="J47" s="5">
        <x:f>IF($A47="","",SUMIFS(Manager_Reports!$J:$J,Manager_Reports!$A:$A,Dashboard!$B$2,Manager_Reports!$C:$C,$B47))</x:f>
      </x:c>
      <x:c r="K47" s="5">
        <x:f>IF($A47="","",SUMIFS(Manager_Reports!$K:$K,Manager_Reports!$A:$A,Dashboard!$B$2,Manager_Reports!$C:$C,$B47))</x:f>
      </x:c>
      <x:c r="L47" s="5">
        <x:f>IF($A47="","",SUMIFS(Manager_Reports!$L:$L,Manager_Reports!$A:$A,Dashboard!$B$2,Manager_Reports!$C:$C,$B47))</x:f>
      </x:c>
      <x:c r="M47" s="5">
        <x:f>IF($A47="","",SUMIFS(Manager_Reports!$M:$M,Manager_Reports!$A:$A,Dashboard!$B$2,Manager_Reports!$C:$C,$B47))</x:f>
      </x:c>
      <x:c r="N47" s="5">
        <x:f>IF($A47="","",SUMIFS(Manager_Reports!$N:$N,Manager_Reports!$A:$A,Dashboard!$B$2,Manager_Reports!$C:$C,$B47))</x:f>
      </x:c>
      <x:c r="O47" s="5">
        <x:f>IF($A47="","",SUMIFS(Manager_Reports!$O:$O,Manager_Reports!$A:$A,Dashboard!$B$2,Manager_Reports!$C:$C,$B47))</x:f>
      </x:c>
      <x:c r="P47" s="5">
        <x:f>IF($A47="","",SUMIFS(Manager_Reports!$P:$P,Manager_Reports!$A:$A,Dashboard!$B$2,Manager_Reports!$C:$C,$B47))</x:f>
      </x:c>
      <x:c r="Q47" s="5">
        <x:f>IF($A47="","",SUMIFS(Manager_Reports!$Q:$Q,Manager_Reports!$A:$A,Dashboard!$B$2,Manager_Reports!$C:$C,$B47))</x:f>
      </x:c>
    </x:row>
    <x:row r="48">
      <x:c r="A48" s="5">
        <x:f>Settings!A48</x:f>
        <x:v>0</x:v>
      </x:c>
      <x:c r="B48" s="5">
        <x:f>Settings!B48</x:f>
        <x:v>0</x:v>
      </x:c>
      <x:c r="C48" s="5">
        <x:f>Settings!C48</x:f>
        <x:v>0</x:v>
      </x:c>
      <x:c r="D48" s="5">
        <x:f>IF($A48="","",COUNTIFS(Manager_Reports!$A:$A,Dashboard!$B$2,Manager_Reports!$C:$C,$B48))</x:f>
      </x:c>
      <x:c r="E48" s="5">
        <x:f>IF($A48="","",IFERROR(LOOKUP(2,1/((Manager_Reports!$A:$A=Dashboard!$B$2)*(Manager_Reports!$C:$C=$B48)),Manager_Reports!$T:$T),""))</x:f>
      </x:c>
      <x:c r="F48" s="5">
        <x:f>IF($A48="","",SUMIFS(Manager_Reports!$F:$F,Manager_Reports!$A:$A,Dashboard!$B$2,Manager_Reports!$C:$C,$B48))</x:f>
      </x:c>
      <x:c r="G48" s="5">
        <x:f>IF($A48="","",SUMIFS(Manager_Reports!$G:$G,Manager_Reports!$A:$A,Dashboard!$B$2,Manager_Reports!$C:$C,$B48))</x:f>
      </x:c>
      <x:c r="H48" s="5">
        <x:f>IF($A48="","",SUMIFS(Manager_Reports!$H:$H,Manager_Reports!$A:$A,Dashboard!$B$2,Manager_Reports!$C:$C,$B48))</x:f>
      </x:c>
      <x:c r="I48" s="5">
        <x:f>IF($A48="","",SUMIFS(Manager_Reports!$I:$I,Manager_Reports!$A:$A,Dashboard!$B$2,Manager_Reports!$C:$C,$B48))</x:f>
      </x:c>
      <x:c r="J48" s="5">
        <x:f>IF($A48="","",SUMIFS(Manager_Reports!$J:$J,Manager_Reports!$A:$A,Dashboard!$B$2,Manager_Reports!$C:$C,$B48))</x:f>
      </x:c>
      <x:c r="K48" s="5">
        <x:f>IF($A48="","",SUMIFS(Manager_Reports!$K:$K,Manager_Reports!$A:$A,Dashboard!$B$2,Manager_Reports!$C:$C,$B48))</x:f>
      </x:c>
      <x:c r="L48" s="5">
        <x:f>IF($A48="","",SUMIFS(Manager_Reports!$L:$L,Manager_Reports!$A:$A,Dashboard!$B$2,Manager_Reports!$C:$C,$B48))</x:f>
      </x:c>
      <x:c r="M48" s="5">
        <x:f>IF($A48="","",SUMIFS(Manager_Reports!$M:$M,Manager_Reports!$A:$A,Dashboard!$B$2,Manager_Reports!$C:$C,$B48))</x:f>
      </x:c>
      <x:c r="N48" s="5">
        <x:f>IF($A48="","",SUMIFS(Manager_Reports!$N:$N,Manager_Reports!$A:$A,Dashboard!$B$2,Manager_Reports!$C:$C,$B48))</x:f>
      </x:c>
      <x:c r="O48" s="5">
        <x:f>IF($A48="","",SUMIFS(Manager_Reports!$O:$O,Manager_Reports!$A:$A,Dashboard!$B$2,Manager_Reports!$C:$C,$B48))</x:f>
      </x:c>
      <x:c r="P48" s="5">
        <x:f>IF($A48="","",SUMIFS(Manager_Reports!$P:$P,Manager_Reports!$A:$A,Dashboard!$B$2,Manager_Reports!$C:$C,$B48))</x:f>
      </x:c>
      <x:c r="Q48" s="5">
        <x:f>IF($A48="","",SUMIFS(Manager_Reports!$Q:$Q,Manager_Reports!$A:$A,Dashboard!$B$2,Manager_Reports!$C:$C,$B48))</x:f>
      </x:c>
    </x:row>
    <x:row r="49">
      <x:c r="A49" s="5">
        <x:f>Settings!A49</x:f>
        <x:v>0</x:v>
      </x:c>
      <x:c r="B49" s="5">
        <x:f>Settings!B49</x:f>
        <x:v>0</x:v>
      </x:c>
      <x:c r="C49" s="5">
        <x:f>Settings!C49</x:f>
        <x:v>0</x:v>
      </x:c>
      <x:c r="D49" s="5">
        <x:f>IF($A49="","",COUNTIFS(Manager_Reports!$A:$A,Dashboard!$B$2,Manager_Reports!$C:$C,$B49))</x:f>
      </x:c>
      <x:c r="E49" s="5">
        <x:f>IF($A49="","",IFERROR(LOOKUP(2,1/((Manager_Reports!$A:$A=Dashboard!$B$2)*(Manager_Reports!$C:$C=$B49)),Manager_Reports!$T:$T),""))</x:f>
      </x:c>
      <x:c r="F49" s="5">
        <x:f>IF($A49="","",SUMIFS(Manager_Reports!$F:$F,Manager_Reports!$A:$A,Dashboard!$B$2,Manager_Reports!$C:$C,$B49))</x:f>
      </x:c>
      <x:c r="G49" s="5">
        <x:f>IF($A49="","",SUMIFS(Manager_Reports!$G:$G,Manager_Reports!$A:$A,Dashboard!$B$2,Manager_Reports!$C:$C,$B49))</x:f>
      </x:c>
      <x:c r="H49" s="5">
        <x:f>IF($A49="","",SUMIFS(Manager_Reports!$H:$H,Manager_Reports!$A:$A,Dashboard!$B$2,Manager_Reports!$C:$C,$B49))</x:f>
      </x:c>
      <x:c r="I49" s="5">
        <x:f>IF($A49="","",SUMIFS(Manager_Reports!$I:$I,Manager_Reports!$A:$A,Dashboard!$B$2,Manager_Reports!$C:$C,$B49))</x:f>
      </x:c>
      <x:c r="J49" s="5">
        <x:f>IF($A49="","",SUMIFS(Manager_Reports!$J:$J,Manager_Reports!$A:$A,Dashboard!$B$2,Manager_Reports!$C:$C,$B49))</x:f>
      </x:c>
      <x:c r="K49" s="5">
        <x:f>IF($A49="","",SUMIFS(Manager_Reports!$K:$K,Manager_Reports!$A:$A,Dashboard!$B$2,Manager_Reports!$C:$C,$B49))</x:f>
      </x:c>
      <x:c r="L49" s="5">
        <x:f>IF($A49="","",SUMIFS(Manager_Reports!$L:$L,Manager_Reports!$A:$A,Dashboard!$B$2,Manager_Reports!$C:$C,$B49))</x:f>
      </x:c>
      <x:c r="M49" s="5">
        <x:f>IF($A49="","",SUMIFS(Manager_Reports!$M:$M,Manager_Reports!$A:$A,Dashboard!$B$2,Manager_Reports!$C:$C,$B49))</x:f>
      </x:c>
      <x:c r="N49" s="5">
        <x:f>IF($A49="","",SUMIFS(Manager_Reports!$N:$N,Manager_Reports!$A:$A,Dashboard!$B$2,Manager_Reports!$C:$C,$B49))</x:f>
      </x:c>
      <x:c r="O49" s="5">
        <x:f>IF($A49="","",SUMIFS(Manager_Reports!$O:$O,Manager_Reports!$A:$A,Dashboard!$B$2,Manager_Reports!$C:$C,$B49))</x:f>
      </x:c>
      <x:c r="P49" s="5">
        <x:f>IF($A49="","",SUMIFS(Manager_Reports!$P:$P,Manager_Reports!$A:$A,Dashboard!$B$2,Manager_Reports!$C:$C,$B49))</x:f>
      </x:c>
      <x:c r="Q49" s="5">
        <x:f>IF($A49="","",SUMIFS(Manager_Reports!$Q:$Q,Manager_Reports!$A:$A,Dashboard!$B$2,Manager_Reports!$C:$C,$B49))</x:f>
      </x:c>
    </x:row>
    <x:row r="50">
      <x:c r="A50" s="5">
        <x:f>Settings!A50</x:f>
        <x:v>0</x:v>
      </x:c>
      <x:c r="B50" s="5">
        <x:f>Settings!B50</x:f>
        <x:v>0</x:v>
      </x:c>
      <x:c r="C50" s="5">
        <x:f>Settings!C50</x:f>
        <x:v>0</x:v>
      </x:c>
      <x:c r="D50" s="5">
        <x:f>IF($A50="","",COUNTIFS(Manager_Reports!$A:$A,Dashboard!$B$2,Manager_Reports!$C:$C,$B50))</x:f>
      </x:c>
      <x:c r="E50" s="5">
        <x:f>IF($A50="","",IFERROR(LOOKUP(2,1/((Manager_Reports!$A:$A=Dashboard!$B$2)*(Manager_Reports!$C:$C=$B50)),Manager_Reports!$T:$T),""))</x:f>
      </x:c>
      <x:c r="F50" s="5">
        <x:f>IF($A50="","",SUMIFS(Manager_Reports!$F:$F,Manager_Reports!$A:$A,Dashboard!$B$2,Manager_Reports!$C:$C,$B50))</x:f>
      </x:c>
      <x:c r="G50" s="5">
        <x:f>IF($A50="","",SUMIFS(Manager_Reports!$G:$G,Manager_Reports!$A:$A,Dashboard!$B$2,Manager_Reports!$C:$C,$B50))</x:f>
      </x:c>
      <x:c r="H50" s="5">
        <x:f>IF($A50="","",SUMIFS(Manager_Reports!$H:$H,Manager_Reports!$A:$A,Dashboard!$B$2,Manager_Reports!$C:$C,$B50))</x:f>
      </x:c>
      <x:c r="I50" s="5">
        <x:f>IF($A50="","",SUMIFS(Manager_Reports!$I:$I,Manager_Reports!$A:$A,Dashboard!$B$2,Manager_Reports!$C:$C,$B50))</x:f>
      </x:c>
      <x:c r="J50" s="5">
        <x:f>IF($A50="","",SUMIFS(Manager_Reports!$J:$J,Manager_Reports!$A:$A,Dashboard!$B$2,Manager_Reports!$C:$C,$B50))</x:f>
      </x:c>
      <x:c r="K50" s="5">
        <x:f>IF($A50="","",SUMIFS(Manager_Reports!$K:$K,Manager_Reports!$A:$A,Dashboard!$B$2,Manager_Reports!$C:$C,$B50))</x:f>
      </x:c>
      <x:c r="L50" s="5">
        <x:f>IF($A50="","",SUMIFS(Manager_Reports!$L:$L,Manager_Reports!$A:$A,Dashboard!$B$2,Manager_Reports!$C:$C,$B50))</x:f>
      </x:c>
      <x:c r="M50" s="5">
        <x:f>IF($A50="","",SUMIFS(Manager_Reports!$M:$M,Manager_Reports!$A:$A,Dashboard!$B$2,Manager_Reports!$C:$C,$B50))</x:f>
      </x:c>
      <x:c r="N50" s="5">
        <x:f>IF($A50="","",SUMIFS(Manager_Reports!$N:$N,Manager_Reports!$A:$A,Dashboard!$B$2,Manager_Reports!$C:$C,$B50))</x:f>
      </x:c>
      <x:c r="O50" s="5">
        <x:f>IF($A50="","",SUMIFS(Manager_Reports!$O:$O,Manager_Reports!$A:$A,Dashboard!$B$2,Manager_Reports!$C:$C,$B50))</x:f>
      </x:c>
      <x:c r="P50" s="5">
        <x:f>IF($A50="","",SUMIFS(Manager_Reports!$P:$P,Manager_Reports!$A:$A,Dashboard!$B$2,Manager_Reports!$C:$C,$B50))</x:f>
      </x:c>
      <x:c r="Q50" s="5">
        <x:f>IF($A50="","",SUMIFS(Manager_Reports!$Q:$Q,Manager_Reports!$A:$A,Dashboard!$B$2,Manager_Reports!$C:$C,$B50))</x:f>
      </x:c>
    </x:row>
    <x:row r="51">
      <x:c r="A51" s="5">
        <x:f>Settings!A51</x:f>
        <x:v>0</x:v>
      </x:c>
      <x:c r="B51" s="5">
        <x:f>Settings!B51</x:f>
        <x:v>0</x:v>
      </x:c>
      <x:c r="C51" s="5">
        <x:f>Settings!C51</x:f>
        <x:v>0</x:v>
      </x:c>
      <x:c r="D51" s="5">
        <x:f>IF($A51="","",COUNTIFS(Manager_Reports!$A:$A,Dashboard!$B$2,Manager_Reports!$C:$C,$B51))</x:f>
      </x:c>
      <x:c r="E51" s="5">
        <x:f>IF($A51="","",IFERROR(LOOKUP(2,1/((Manager_Reports!$A:$A=Dashboard!$B$2)*(Manager_Reports!$C:$C=$B51)),Manager_Reports!$T:$T),""))</x:f>
      </x:c>
      <x:c r="F51" s="5">
        <x:f>IF($A51="","",SUMIFS(Manager_Reports!$F:$F,Manager_Reports!$A:$A,Dashboard!$B$2,Manager_Reports!$C:$C,$B51))</x:f>
      </x:c>
      <x:c r="G51" s="5">
        <x:f>IF($A51="","",SUMIFS(Manager_Reports!$G:$G,Manager_Reports!$A:$A,Dashboard!$B$2,Manager_Reports!$C:$C,$B51))</x:f>
      </x:c>
      <x:c r="H51" s="5">
        <x:f>IF($A51="","",SUMIFS(Manager_Reports!$H:$H,Manager_Reports!$A:$A,Dashboard!$B$2,Manager_Reports!$C:$C,$B51))</x:f>
      </x:c>
      <x:c r="I51" s="5">
        <x:f>IF($A51="","",SUMIFS(Manager_Reports!$I:$I,Manager_Reports!$A:$A,Dashboard!$B$2,Manager_Reports!$C:$C,$B51))</x:f>
      </x:c>
      <x:c r="J51" s="5">
        <x:f>IF($A51="","",SUMIFS(Manager_Reports!$J:$J,Manager_Reports!$A:$A,Dashboard!$B$2,Manager_Reports!$C:$C,$B51))</x:f>
      </x:c>
      <x:c r="K51" s="5">
        <x:f>IF($A51="","",SUMIFS(Manager_Reports!$K:$K,Manager_Reports!$A:$A,Dashboard!$B$2,Manager_Reports!$C:$C,$B51))</x:f>
      </x:c>
      <x:c r="L51" s="5">
        <x:f>IF($A51="","",SUMIFS(Manager_Reports!$L:$L,Manager_Reports!$A:$A,Dashboard!$B$2,Manager_Reports!$C:$C,$B51))</x:f>
      </x:c>
      <x:c r="M51" s="5">
        <x:f>IF($A51="","",SUMIFS(Manager_Reports!$M:$M,Manager_Reports!$A:$A,Dashboard!$B$2,Manager_Reports!$C:$C,$B51))</x:f>
      </x:c>
      <x:c r="N51" s="5">
        <x:f>IF($A51="","",SUMIFS(Manager_Reports!$N:$N,Manager_Reports!$A:$A,Dashboard!$B$2,Manager_Reports!$C:$C,$B51))</x:f>
      </x:c>
      <x:c r="O51" s="5">
        <x:f>IF($A51="","",SUMIFS(Manager_Reports!$O:$O,Manager_Reports!$A:$A,Dashboard!$B$2,Manager_Reports!$C:$C,$B51))</x:f>
      </x:c>
      <x:c r="P51" s="5">
        <x:f>IF($A51="","",SUMIFS(Manager_Reports!$P:$P,Manager_Reports!$A:$A,Dashboard!$B$2,Manager_Reports!$C:$C,$B51))</x:f>
      </x:c>
      <x:c r="Q51" s="5">
        <x:f>IF($A51="","",SUMIFS(Manager_Reports!$Q:$Q,Manager_Reports!$A:$A,Dashboard!$B$2,Manager_Reports!$C:$C,$B51))</x:f>
      </x:c>
    </x:row>
    <x:row r="52">
      <x:c r="A52" s="5">
        <x:f>Settings!A52</x:f>
        <x:v>0</x:v>
      </x:c>
      <x:c r="B52" s="5">
        <x:f>Settings!B52</x:f>
        <x:v>0</x:v>
      </x:c>
      <x:c r="C52" s="5">
        <x:f>Settings!C52</x:f>
        <x:v>0</x:v>
      </x:c>
      <x:c r="D52" s="5">
        <x:f>IF($A52="","",COUNTIFS(Manager_Reports!$A:$A,Dashboard!$B$2,Manager_Reports!$C:$C,$B52))</x:f>
      </x:c>
      <x:c r="E52" s="5">
        <x:f>IF($A52="","",IFERROR(LOOKUP(2,1/((Manager_Reports!$A:$A=Dashboard!$B$2)*(Manager_Reports!$C:$C=$B52)),Manager_Reports!$T:$T),""))</x:f>
      </x:c>
      <x:c r="F52" s="5">
        <x:f>IF($A52="","",SUMIFS(Manager_Reports!$F:$F,Manager_Reports!$A:$A,Dashboard!$B$2,Manager_Reports!$C:$C,$B52))</x:f>
      </x:c>
      <x:c r="G52" s="5">
        <x:f>IF($A52="","",SUMIFS(Manager_Reports!$G:$G,Manager_Reports!$A:$A,Dashboard!$B$2,Manager_Reports!$C:$C,$B52))</x:f>
      </x:c>
      <x:c r="H52" s="5">
        <x:f>IF($A52="","",SUMIFS(Manager_Reports!$H:$H,Manager_Reports!$A:$A,Dashboard!$B$2,Manager_Reports!$C:$C,$B52))</x:f>
      </x:c>
      <x:c r="I52" s="5">
        <x:f>IF($A52="","",SUMIFS(Manager_Reports!$I:$I,Manager_Reports!$A:$A,Dashboard!$B$2,Manager_Reports!$C:$C,$B52))</x:f>
      </x:c>
      <x:c r="J52" s="5">
        <x:f>IF($A52="","",SUMIFS(Manager_Reports!$J:$J,Manager_Reports!$A:$A,Dashboard!$B$2,Manager_Reports!$C:$C,$B52))</x:f>
      </x:c>
      <x:c r="K52" s="5">
        <x:f>IF($A52="","",SUMIFS(Manager_Reports!$K:$K,Manager_Reports!$A:$A,Dashboard!$B$2,Manager_Reports!$C:$C,$B52))</x:f>
      </x:c>
      <x:c r="L52" s="5">
        <x:f>IF($A52="","",SUMIFS(Manager_Reports!$L:$L,Manager_Reports!$A:$A,Dashboard!$B$2,Manager_Reports!$C:$C,$B52))</x:f>
      </x:c>
      <x:c r="M52" s="5">
        <x:f>IF($A52="","",SUMIFS(Manager_Reports!$M:$M,Manager_Reports!$A:$A,Dashboard!$B$2,Manager_Reports!$C:$C,$B52))</x:f>
      </x:c>
      <x:c r="N52" s="5">
        <x:f>IF($A52="","",SUMIFS(Manager_Reports!$N:$N,Manager_Reports!$A:$A,Dashboard!$B$2,Manager_Reports!$C:$C,$B52))</x:f>
      </x:c>
      <x:c r="O52" s="5">
        <x:f>IF($A52="","",SUMIFS(Manager_Reports!$O:$O,Manager_Reports!$A:$A,Dashboard!$B$2,Manager_Reports!$C:$C,$B52))</x:f>
      </x:c>
      <x:c r="P52" s="5">
        <x:f>IF($A52="","",SUMIFS(Manager_Reports!$P:$P,Manager_Reports!$A:$A,Dashboard!$B$2,Manager_Reports!$C:$C,$B52))</x:f>
      </x:c>
      <x:c r="Q52" s="5">
        <x:f>IF($A52="","",SUMIFS(Manager_Reports!$Q:$Q,Manager_Reports!$A:$A,Dashboard!$B$2,Manager_Reports!$C:$C,$B52))</x:f>
      </x:c>
    </x:row>
    <x:row r="53">
      <x:c r="A53" s="5">
        <x:f>Settings!A53</x:f>
        <x:v>0</x:v>
      </x:c>
      <x:c r="B53" s="5">
        <x:f>Settings!B53</x:f>
        <x:v>0</x:v>
      </x:c>
      <x:c r="C53" s="5">
        <x:f>Settings!C53</x:f>
        <x:v>0</x:v>
      </x:c>
      <x:c r="D53" s="5">
        <x:f>IF($A53="","",COUNTIFS(Manager_Reports!$A:$A,Dashboard!$B$2,Manager_Reports!$C:$C,$B53))</x:f>
      </x:c>
      <x:c r="E53" s="5">
        <x:f>IF($A53="","",IFERROR(LOOKUP(2,1/((Manager_Reports!$A:$A=Dashboard!$B$2)*(Manager_Reports!$C:$C=$B53)),Manager_Reports!$T:$T),""))</x:f>
      </x:c>
      <x:c r="F53" s="5">
        <x:f>IF($A53="","",SUMIFS(Manager_Reports!$F:$F,Manager_Reports!$A:$A,Dashboard!$B$2,Manager_Reports!$C:$C,$B53))</x:f>
      </x:c>
      <x:c r="G53" s="5">
        <x:f>IF($A53="","",SUMIFS(Manager_Reports!$G:$G,Manager_Reports!$A:$A,Dashboard!$B$2,Manager_Reports!$C:$C,$B53))</x:f>
      </x:c>
      <x:c r="H53" s="5">
        <x:f>IF($A53="","",SUMIFS(Manager_Reports!$H:$H,Manager_Reports!$A:$A,Dashboard!$B$2,Manager_Reports!$C:$C,$B53))</x:f>
      </x:c>
      <x:c r="I53" s="5">
        <x:f>IF($A53="","",SUMIFS(Manager_Reports!$I:$I,Manager_Reports!$A:$A,Dashboard!$B$2,Manager_Reports!$C:$C,$B53))</x:f>
      </x:c>
      <x:c r="J53" s="5">
        <x:f>IF($A53="","",SUMIFS(Manager_Reports!$J:$J,Manager_Reports!$A:$A,Dashboard!$B$2,Manager_Reports!$C:$C,$B53))</x:f>
      </x:c>
      <x:c r="K53" s="5">
        <x:f>IF($A53="","",SUMIFS(Manager_Reports!$K:$K,Manager_Reports!$A:$A,Dashboard!$B$2,Manager_Reports!$C:$C,$B53))</x:f>
      </x:c>
      <x:c r="L53" s="5">
        <x:f>IF($A53="","",SUMIFS(Manager_Reports!$L:$L,Manager_Reports!$A:$A,Dashboard!$B$2,Manager_Reports!$C:$C,$B53))</x:f>
      </x:c>
      <x:c r="M53" s="5">
        <x:f>IF($A53="","",SUMIFS(Manager_Reports!$M:$M,Manager_Reports!$A:$A,Dashboard!$B$2,Manager_Reports!$C:$C,$B53))</x:f>
      </x:c>
      <x:c r="N53" s="5">
        <x:f>IF($A53="","",SUMIFS(Manager_Reports!$N:$N,Manager_Reports!$A:$A,Dashboard!$B$2,Manager_Reports!$C:$C,$B53))</x:f>
      </x:c>
      <x:c r="O53" s="5">
        <x:f>IF($A53="","",SUMIFS(Manager_Reports!$O:$O,Manager_Reports!$A:$A,Dashboard!$B$2,Manager_Reports!$C:$C,$B53))</x:f>
      </x:c>
      <x:c r="P53" s="5">
        <x:f>IF($A53="","",SUMIFS(Manager_Reports!$P:$P,Manager_Reports!$A:$A,Dashboard!$B$2,Manager_Reports!$C:$C,$B53))</x:f>
      </x:c>
      <x:c r="Q53" s="5">
        <x:f>IF($A53="","",SUMIFS(Manager_Reports!$Q:$Q,Manager_Reports!$A:$A,Dashboard!$B$2,Manager_Reports!$C:$C,$B53))</x:f>
      </x:c>
    </x:row>
    <x:row r="54">
      <x:c r="A54" s="5">
        <x:f>Settings!A54</x:f>
        <x:v>0</x:v>
      </x:c>
      <x:c r="B54" s="5">
        <x:f>Settings!B54</x:f>
        <x:v>0</x:v>
      </x:c>
      <x:c r="C54" s="5">
        <x:f>Settings!C54</x:f>
        <x:v>0</x:v>
      </x:c>
      <x:c r="D54" s="5">
        <x:f>IF($A54="","",COUNTIFS(Manager_Reports!$A:$A,Dashboard!$B$2,Manager_Reports!$C:$C,$B54))</x:f>
      </x:c>
      <x:c r="E54" s="5">
        <x:f>IF($A54="","",IFERROR(LOOKUP(2,1/((Manager_Reports!$A:$A=Dashboard!$B$2)*(Manager_Reports!$C:$C=$B54)),Manager_Reports!$T:$T),""))</x:f>
      </x:c>
      <x:c r="F54" s="5">
        <x:f>IF($A54="","",SUMIFS(Manager_Reports!$F:$F,Manager_Reports!$A:$A,Dashboard!$B$2,Manager_Reports!$C:$C,$B54))</x:f>
      </x:c>
      <x:c r="G54" s="5">
        <x:f>IF($A54="","",SUMIFS(Manager_Reports!$G:$G,Manager_Reports!$A:$A,Dashboard!$B$2,Manager_Reports!$C:$C,$B54))</x:f>
      </x:c>
      <x:c r="H54" s="5">
        <x:f>IF($A54="","",SUMIFS(Manager_Reports!$H:$H,Manager_Reports!$A:$A,Dashboard!$B$2,Manager_Reports!$C:$C,$B54))</x:f>
      </x:c>
      <x:c r="I54" s="5">
        <x:f>IF($A54="","",SUMIFS(Manager_Reports!$I:$I,Manager_Reports!$A:$A,Dashboard!$B$2,Manager_Reports!$C:$C,$B54))</x:f>
      </x:c>
      <x:c r="J54" s="5">
        <x:f>IF($A54="","",SUMIFS(Manager_Reports!$J:$J,Manager_Reports!$A:$A,Dashboard!$B$2,Manager_Reports!$C:$C,$B54))</x:f>
      </x:c>
      <x:c r="K54" s="5">
        <x:f>IF($A54="","",SUMIFS(Manager_Reports!$K:$K,Manager_Reports!$A:$A,Dashboard!$B$2,Manager_Reports!$C:$C,$B54))</x:f>
      </x:c>
      <x:c r="L54" s="5">
        <x:f>IF($A54="","",SUMIFS(Manager_Reports!$L:$L,Manager_Reports!$A:$A,Dashboard!$B$2,Manager_Reports!$C:$C,$B54))</x:f>
      </x:c>
      <x:c r="M54" s="5">
        <x:f>IF($A54="","",SUMIFS(Manager_Reports!$M:$M,Manager_Reports!$A:$A,Dashboard!$B$2,Manager_Reports!$C:$C,$B54))</x:f>
      </x:c>
      <x:c r="N54" s="5">
        <x:f>IF($A54="","",SUMIFS(Manager_Reports!$N:$N,Manager_Reports!$A:$A,Dashboard!$B$2,Manager_Reports!$C:$C,$B54))</x:f>
      </x:c>
      <x:c r="O54" s="5">
        <x:f>IF($A54="","",SUMIFS(Manager_Reports!$O:$O,Manager_Reports!$A:$A,Dashboard!$B$2,Manager_Reports!$C:$C,$B54))</x:f>
      </x:c>
      <x:c r="P54" s="5">
        <x:f>IF($A54="","",SUMIFS(Manager_Reports!$P:$P,Manager_Reports!$A:$A,Dashboard!$B$2,Manager_Reports!$C:$C,$B54))</x:f>
      </x:c>
      <x:c r="Q54" s="5">
        <x:f>IF($A54="","",SUMIFS(Manager_Reports!$Q:$Q,Manager_Reports!$A:$A,Dashboard!$B$2,Manager_Reports!$C:$C,$B54))</x:f>
      </x:c>
    </x:row>
    <x:row r="55">
      <x:c r="A55" s="5">
        <x:f>Settings!A55</x:f>
        <x:v>0</x:v>
      </x:c>
      <x:c r="B55" s="5">
        <x:f>Settings!B55</x:f>
        <x:v>0</x:v>
      </x:c>
      <x:c r="C55" s="5">
        <x:f>Settings!C55</x:f>
        <x:v>0</x:v>
      </x:c>
      <x:c r="D55" s="5">
        <x:f>IF($A55="","",COUNTIFS(Manager_Reports!$A:$A,Dashboard!$B$2,Manager_Reports!$C:$C,$B55))</x:f>
      </x:c>
      <x:c r="E55" s="5">
        <x:f>IF($A55="","",IFERROR(LOOKUP(2,1/((Manager_Reports!$A:$A=Dashboard!$B$2)*(Manager_Reports!$C:$C=$B55)),Manager_Reports!$T:$T),""))</x:f>
      </x:c>
      <x:c r="F55" s="5">
        <x:f>IF($A55="","",SUMIFS(Manager_Reports!$F:$F,Manager_Reports!$A:$A,Dashboard!$B$2,Manager_Reports!$C:$C,$B55))</x:f>
      </x:c>
      <x:c r="G55" s="5">
        <x:f>IF($A55="","",SUMIFS(Manager_Reports!$G:$G,Manager_Reports!$A:$A,Dashboard!$B$2,Manager_Reports!$C:$C,$B55))</x:f>
      </x:c>
      <x:c r="H55" s="5">
        <x:f>IF($A55="","",SUMIFS(Manager_Reports!$H:$H,Manager_Reports!$A:$A,Dashboard!$B$2,Manager_Reports!$C:$C,$B55))</x:f>
      </x:c>
      <x:c r="I55" s="5">
        <x:f>IF($A55="","",SUMIFS(Manager_Reports!$I:$I,Manager_Reports!$A:$A,Dashboard!$B$2,Manager_Reports!$C:$C,$B55))</x:f>
      </x:c>
      <x:c r="J55" s="5">
        <x:f>IF($A55="","",SUMIFS(Manager_Reports!$J:$J,Manager_Reports!$A:$A,Dashboard!$B$2,Manager_Reports!$C:$C,$B55))</x:f>
      </x:c>
      <x:c r="K55" s="5">
        <x:f>IF($A55="","",SUMIFS(Manager_Reports!$K:$K,Manager_Reports!$A:$A,Dashboard!$B$2,Manager_Reports!$C:$C,$B55))</x:f>
      </x:c>
      <x:c r="L55" s="5">
        <x:f>IF($A55="","",SUMIFS(Manager_Reports!$L:$L,Manager_Reports!$A:$A,Dashboard!$B$2,Manager_Reports!$C:$C,$B55))</x:f>
      </x:c>
      <x:c r="M55" s="5">
        <x:f>IF($A55="","",SUMIFS(Manager_Reports!$M:$M,Manager_Reports!$A:$A,Dashboard!$B$2,Manager_Reports!$C:$C,$B55))</x:f>
      </x:c>
      <x:c r="N55" s="5">
        <x:f>IF($A55="","",SUMIFS(Manager_Reports!$N:$N,Manager_Reports!$A:$A,Dashboard!$B$2,Manager_Reports!$C:$C,$B55))</x:f>
      </x:c>
      <x:c r="O55" s="5">
        <x:f>IF($A55="","",SUMIFS(Manager_Reports!$O:$O,Manager_Reports!$A:$A,Dashboard!$B$2,Manager_Reports!$C:$C,$B55))</x:f>
      </x:c>
      <x:c r="P55" s="5">
        <x:f>IF($A55="","",SUMIFS(Manager_Reports!$P:$P,Manager_Reports!$A:$A,Dashboard!$B$2,Manager_Reports!$C:$C,$B55))</x:f>
      </x:c>
      <x:c r="Q55" s="5">
        <x:f>IF($A55="","",SUMIFS(Manager_Reports!$Q:$Q,Manager_Reports!$A:$A,Dashboard!$B$2,Manager_Reports!$C:$C,$B55))</x:f>
      </x:c>
    </x:row>
    <x:row r="56">
      <x:c r="A56" s="5">
        <x:f>Settings!A56</x:f>
        <x:v>0</x:v>
      </x:c>
      <x:c r="B56" s="5">
        <x:f>Settings!B56</x:f>
        <x:v>0</x:v>
      </x:c>
      <x:c r="C56" s="5">
        <x:f>Settings!C56</x:f>
        <x:v>0</x:v>
      </x:c>
      <x:c r="D56" s="5">
        <x:f>IF($A56="","",COUNTIFS(Manager_Reports!$A:$A,Dashboard!$B$2,Manager_Reports!$C:$C,$B56))</x:f>
      </x:c>
      <x:c r="E56" s="5">
        <x:f>IF($A56="","",IFERROR(LOOKUP(2,1/((Manager_Reports!$A:$A=Dashboard!$B$2)*(Manager_Reports!$C:$C=$B56)),Manager_Reports!$T:$T),""))</x:f>
      </x:c>
      <x:c r="F56" s="5">
        <x:f>IF($A56="","",SUMIFS(Manager_Reports!$F:$F,Manager_Reports!$A:$A,Dashboard!$B$2,Manager_Reports!$C:$C,$B56))</x:f>
      </x:c>
      <x:c r="G56" s="5">
        <x:f>IF($A56="","",SUMIFS(Manager_Reports!$G:$G,Manager_Reports!$A:$A,Dashboard!$B$2,Manager_Reports!$C:$C,$B56))</x:f>
      </x:c>
      <x:c r="H56" s="5">
        <x:f>IF($A56="","",SUMIFS(Manager_Reports!$H:$H,Manager_Reports!$A:$A,Dashboard!$B$2,Manager_Reports!$C:$C,$B56))</x:f>
      </x:c>
      <x:c r="I56" s="5">
        <x:f>IF($A56="","",SUMIFS(Manager_Reports!$I:$I,Manager_Reports!$A:$A,Dashboard!$B$2,Manager_Reports!$C:$C,$B56))</x:f>
      </x:c>
      <x:c r="J56" s="5">
        <x:f>IF($A56="","",SUMIFS(Manager_Reports!$J:$J,Manager_Reports!$A:$A,Dashboard!$B$2,Manager_Reports!$C:$C,$B56))</x:f>
      </x:c>
      <x:c r="K56" s="5">
        <x:f>IF($A56="","",SUMIFS(Manager_Reports!$K:$K,Manager_Reports!$A:$A,Dashboard!$B$2,Manager_Reports!$C:$C,$B56))</x:f>
      </x:c>
      <x:c r="L56" s="5">
        <x:f>IF($A56="","",SUMIFS(Manager_Reports!$L:$L,Manager_Reports!$A:$A,Dashboard!$B$2,Manager_Reports!$C:$C,$B56))</x:f>
      </x:c>
      <x:c r="M56" s="5">
        <x:f>IF($A56="","",SUMIFS(Manager_Reports!$M:$M,Manager_Reports!$A:$A,Dashboard!$B$2,Manager_Reports!$C:$C,$B56))</x:f>
      </x:c>
      <x:c r="N56" s="5">
        <x:f>IF($A56="","",SUMIFS(Manager_Reports!$N:$N,Manager_Reports!$A:$A,Dashboard!$B$2,Manager_Reports!$C:$C,$B56))</x:f>
      </x:c>
      <x:c r="O56" s="5">
        <x:f>IF($A56="","",SUMIFS(Manager_Reports!$O:$O,Manager_Reports!$A:$A,Dashboard!$B$2,Manager_Reports!$C:$C,$B56))</x:f>
      </x:c>
      <x:c r="P56" s="5">
        <x:f>IF($A56="","",SUMIFS(Manager_Reports!$P:$P,Manager_Reports!$A:$A,Dashboard!$B$2,Manager_Reports!$C:$C,$B56))</x:f>
      </x:c>
      <x:c r="Q56" s="5">
        <x:f>IF($A56="","",SUMIFS(Manager_Reports!$Q:$Q,Manager_Reports!$A:$A,Dashboard!$B$2,Manager_Reports!$C:$C,$B56))</x:f>
      </x:c>
    </x:row>
    <x:row r="57">
      <x:c r="A57" s="5">
        <x:f>Settings!A57</x:f>
        <x:v>0</x:v>
      </x:c>
      <x:c r="B57" s="5">
        <x:f>Settings!B57</x:f>
        <x:v>0</x:v>
      </x:c>
      <x:c r="C57" s="5">
        <x:f>Settings!C57</x:f>
        <x:v>0</x:v>
      </x:c>
      <x:c r="D57" s="5">
        <x:f>IF($A57="","",COUNTIFS(Manager_Reports!$A:$A,Dashboard!$B$2,Manager_Reports!$C:$C,$B57))</x:f>
      </x:c>
      <x:c r="E57" s="5">
        <x:f>IF($A57="","",IFERROR(LOOKUP(2,1/((Manager_Reports!$A:$A=Dashboard!$B$2)*(Manager_Reports!$C:$C=$B57)),Manager_Reports!$T:$T),""))</x:f>
      </x:c>
      <x:c r="F57" s="5">
        <x:f>IF($A57="","",SUMIFS(Manager_Reports!$F:$F,Manager_Reports!$A:$A,Dashboard!$B$2,Manager_Reports!$C:$C,$B57))</x:f>
      </x:c>
      <x:c r="G57" s="5">
        <x:f>IF($A57="","",SUMIFS(Manager_Reports!$G:$G,Manager_Reports!$A:$A,Dashboard!$B$2,Manager_Reports!$C:$C,$B57))</x:f>
      </x:c>
      <x:c r="H57" s="5">
        <x:f>IF($A57="","",SUMIFS(Manager_Reports!$H:$H,Manager_Reports!$A:$A,Dashboard!$B$2,Manager_Reports!$C:$C,$B57))</x:f>
      </x:c>
      <x:c r="I57" s="5">
        <x:f>IF($A57="","",SUMIFS(Manager_Reports!$I:$I,Manager_Reports!$A:$A,Dashboard!$B$2,Manager_Reports!$C:$C,$B57))</x:f>
      </x:c>
      <x:c r="J57" s="5">
        <x:f>IF($A57="","",SUMIFS(Manager_Reports!$J:$J,Manager_Reports!$A:$A,Dashboard!$B$2,Manager_Reports!$C:$C,$B57))</x:f>
      </x:c>
      <x:c r="K57" s="5">
        <x:f>IF($A57="","",SUMIFS(Manager_Reports!$K:$K,Manager_Reports!$A:$A,Dashboard!$B$2,Manager_Reports!$C:$C,$B57))</x:f>
      </x:c>
      <x:c r="L57" s="5">
        <x:f>IF($A57="","",SUMIFS(Manager_Reports!$L:$L,Manager_Reports!$A:$A,Dashboard!$B$2,Manager_Reports!$C:$C,$B57))</x:f>
      </x:c>
      <x:c r="M57" s="5">
        <x:f>IF($A57="","",SUMIFS(Manager_Reports!$M:$M,Manager_Reports!$A:$A,Dashboard!$B$2,Manager_Reports!$C:$C,$B57))</x:f>
      </x:c>
      <x:c r="N57" s="5">
        <x:f>IF($A57="","",SUMIFS(Manager_Reports!$N:$N,Manager_Reports!$A:$A,Dashboard!$B$2,Manager_Reports!$C:$C,$B57))</x:f>
      </x:c>
      <x:c r="O57" s="5">
        <x:f>IF($A57="","",SUMIFS(Manager_Reports!$O:$O,Manager_Reports!$A:$A,Dashboard!$B$2,Manager_Reports!$C:$C,$B57))</x:f>
      </x:c>
      <x:c r="P57" s="5">
        <x:f>IF($A57="","",SUMIFS(Manager_Reports!$P:$P,Manager_Reports!$A:$A,Dashboard!$B$2,Manager_Reports!$C:$C,$B57))</x:f>
      </x:c>
      <x:c r="Q57" s="5">
        <x:f>IF($A57="","",SUMIFS(Manager_Reports!$Q:$Q,Manager_Reports!$A:$A,Dashboard!$B$2,Manager_Reports!$C:$C,$B57))</x:f>
      </x:c>
    </x:row>
    <x:row r="58">
      <x:c r="A58" s="5">
        <x:f>Settings!A58</x:f>
        <x:v>0</x:v>
      </x:c>
      <x:c r="B58" s="5">
        <x:f>Settings!B58</x:f>
        <x:v>0</x:v>
      </x:c>
      <x:c r="C58" s="5">
        <x:f>Settings!C58</x:f>
        <x:v>0</x:v>
      </x:c>
      <x:c r="D58" s="5">
        <x:f>IF($A58="","",COUNTIFS(Manager_Reports!$A:$A,Dashboard!$B$2,Manager_Reports!$C:$C,$B58))</x:f>
      </x:c>
      <x:c r="E58" s="5">
        <x:f>IF($A58="","",IFERROR(LOOKUP(2,1/((Manager_Reports!$A:$A=Dashboard!$B$2)*(Manager_Reports!$C:$C=$B58)),Manager_Reports!$T:$T),""))</x:f>
      </x:c>
      <x:c r="F58" s="5">
        <x:f>IF($A58="","",SUMIFS(Manager_Reports!$F:$F,Manager_Reports!$A:$A,Dashboard!$B$2,Manager_Reports!$C:$C,$B58))</x:f>
      </x:c>
      <x:c r="G58" s="5">
        <x:f>IF($A58="","",SUMIFS(Manager_Reports!$G:$G,Manager_Reports!$A:$A,Dashboard!$B$2,Manager_Reports!$C:$C,$B58))</x:f>
      </x:c>
      <x:c r="H58" s="5">
        <x:f>IF($A58="","",SUMIFS(Manager_Reports!$H:$H,Manager_Reports!$A:$A,Dashboard!$B$2,Manager_Reports!$C:$C,$B58))</x:f>
      </x:c>
      <x:c r="I58" s="5">
        <x:f>IF($A58="","",SUMIFS(Manager_Reports!$I:$I,Manager_Reports!$A:$A,Dashboard!$B$2,Manager_Reports!$C:$C,$B58))</x:f>
      </x:c>
      <x:c r="J58" s="5">
        <x:f>IF($A58="","",SUMIFS(Manager_Reports!$J:$J,Manager_Reports!$A:$A,Dashboard!$B$2,Manager_Reports!$C:$C,$B58))</x:f>
      </x:c>
      <x:c r="K58" s="5">
        <x:f>IF($A58="","",SUMIFS(Manager_Reports!$K:$K,Manager_Reports!$A:$A,Dashboard!$B$2,Manager_Reports!$C:$C,$B58))</x:f>
      </x:c>
      <x:c r="L58" s="5">
        <x:f>IF($A58="","",SUMIFS(Manager_Reports!$L:$L,Manager_Reports!$A:$A,Dashboard!$B$2,Manager_Reports!$C:$C,$B58))</x:f>
      </x:c>
      <x:c r="M58" s="5">
        <x:f>IF($A58="","",SUMIFS(Manager_Reports!$M:$M,Manager_Reports!$A:$A,Dashboard!$B$2,Manager_Reports!$C:$C,$B58))</x:f>
      </x:c>
      <x:c r="N58" s="5">
        <x:f>IF($A58="","",SUMIFS(Manager_Reports!$N:$N,Manager_Reports!$A:$A,Dashboard!$B$2,Manager_Reports!$C:$C,$B58))</x:f>
      </x:c>
      <x:c r="O58" s="5">
        <x:f>IF($A58="","",SUMIFS(Manager_Reports!$O:$O,Manager_Reports!$A:$A,Dashboard!$B$2,Manager_Reports!$C:$C,$B58))</x:f>
      </x:c>
      <x:c r="P58" s="5">
        <x:f>IF($A58="","",SUMIFS(Manager_Reports!$P:$P,Manager_Reports!$A:$A,Dashboard!$B$2,Manager_Reports!$C:$C,$B58))</x:f>
      </x:c>
      <x:c r="Q58" s="5">
        <x:f>IF($A58="","",SUMIFS(Manager_Reports!$Q:$Q,Manager_Reports!$A:$A,Dashboard!$B$2,Manager_Reports!$C:$C,$B58))</x:f>
      </x:c>
    </x:row>
    <x:row r="59">
      <x:c r="A59" s="5">
        <x:f>Settings!A59</x:f>
        <x:v>0</x:v>
      </x:c>
      <x:c r="B59" s="5">
        <x:f>Settings!B59</x:f>
        <x:v>0</x:v>
      </x:c>
      <x:c r="C59" s="5">
        <x:f>Settings!C59</x:f>
        <x:v>0</x:v>
      </x:c>
      <x:c r="D59" s="5">
        <x:f>IF($A59="","",COUNTIFS(Manager_Reports!$A:$A,Dashboard!$B$2,Manager_Reports!$C:$C,$B59))</x:f>
      </x:c>
      <x:c r="E59" s="5">
        <x:f>IF($A59="","",IFERROR(LOOKUP(2,1/((Manager_Reports!$A:$A=Dashboard!$B$2)*(Manager_Reports!$C:$C=$B59)),Manager_Reports!$T:$T),""))</x:f>
      </x:c>
      <x:c r="F59" s="5">
        <x:f>IF($A59="","",SUMIFS(Manager_Reports!$F:$F,Manager_Reports!$A:$A,Dashboard!$B$2,Manager_Reports!$C:$C,$B59))</x:f>
      </x:c>
      <x:c r="G59" s="5">
        <x:f>IF($A59="","",SUMIFS(Manager_Reports!$G:$G,Manager_Reports!$A:$A,Dashboard!$B$2,Manager_Reports!$C:$C,$B59))</x:f>
      </x:c>
      <x:c r="H59" s="5">
        <x:f>IF($A59="","",SUMIFS(Manager_Reports!$H:$H,Manager_Reports!$A:$A,Dashboard!$B$2,Manager_Reports!$C:$C,$B59))</x:f>
      </x:c>
      <x:c r="I59" s="5">
        <x:f>IF($A59="","",SUMIFS(Manager_Reports!$I:$I,Manager_Reports!$A:$A,Dashboard!$B$2,Manager_Reports!$C:$C,$B59))</x:f>
      </x:c>
      <x:c r="J59" s="5">
        <x:f>IF($A59="","",SUMIFS(Manager_Reports!$J:$J,Manager_Reports!$A:$A,Dashboard!$B$2,Manager_Reports!$C:$C,$B59))</x:f>
      </x:c>
      <x:c r="K59" s="5">
        <x:f>IF($A59="","",SUMIFS(Manager_Reports!$K:$K,Manager_Reports!$A:$A,Dashboard!$B$2,Manager_Reports!$C:$C,$B59))</x:f>
      </x:c>
      <x:c r="L59" s="5">
        <x:f>IF($A59="","",SUMIFS(Manager_Reports!$L:$L,Manager_Reports!$A:$A,Dashboard!$B$2,Manager_Reports!$C:$C,$B59))</x:f>
      </x:c>
      <x:c r="M59" s="5">
        <x:f>IF($A59="","",SUMIFS(Manager_Reports!$M:$M,Manager_Reports!$A:$A,Dashboard!$B$2,Manager_Reports!$C:$C,$B59))</x:f>
      </x:c>
      <x:c r="N59" s="5">
        <x:f>IF($A59="","",SUMIFS(Manager_Reports!$N:$N,Manager_Reports!$A:$A,Dashboard!$B$2,Manager_Reports!$C:$C,$B59))</x:f>
      </x:c>
      <x:c r="O59" s="5">
        <x:f>IF($A59="","",SUMIFS(Manager_Reports!$O:$O,Manager_Reports!$A:$A,Dashboard!$B$2,Manager_Reports!$C:$C,$B59))</x:f>
      </x:c>
      <x:c r="P59" s="5">
        <x:f>IF($A59="","",SUMIFS(Manager_Reports!$P:$P,Manager_Reports!$A:$A,Dashboard!$B$2,Manager_Reports!$C:$C,$B59))</x:f>
      </x:c>
      <x:c r="Q59" s="5">
        <x:f>IF($A59="","",SUMIFS(Manager_Reports!$Q:$Q,Manager_Reports!$A:$A,Dashboard!$B$2,Manager_Reports!$C:$C,$B59))</x:f>
      </x:c>
    </x:row>
    <x:row r="60">
      <x:c r="A60" s="5">
        <x:f>Settings!A60</x:f>
        <x:v>0</x:v>
      </x:c>
      <x:c r="B60" s="5">
        <x:f>Settings!B60</x:f>
        <x:v>0</x:v>
      </x:c>
      <x:c r="C60" s="5">
        <x:f>Settings!C60</x:f>
        <x:v>0</x:v>
      </x:c>
      <x:c r="D60" s="5">
        <x:f>IF($A60="","",COUNTIFS(Manager_Reports!$A:$A,Dashboard!$B$2,Manager_Reports!$C:$C,$B60))</x:f>
      </x:c>
      <x:c r="E60" s="5">
        <x:f>IF($A60="","",IFERROR(LOOKUP(2,1/((Manager_Reports!$A:$A=Dashboard!$B$2)*(Manager_Reports!$C:$C=$B60)),Manager_Reports!$T:$T),""))</x:f>
      </x:c>
      <x:c r="F60" s="5">
        <x:f>IF($A60="","",SUMIFS(Manager_Reports!$F:$F,Manager_Reports!$A:$A,Dashboard!$B$2,Manager_Reports!$C:$C,$B60))</x:f>
      </x:c>
      <x:c r="G60" s="5">
        <x:f>IF($A60="","",SUMIFS(Manager_Reports!$G:$G,Manager_Reports!$A:$A,Dashboard!$B$2,Manager_Reports!$C:$C,$B60))</x:f>
      </x:c>
      <x:c r="H60" s="5">
        <x:f>IF($A60="","",SUMIFS(Manager_Reports!$H:$H,Manager_Reports!$A:$A,Dashboard!$B$2,Manager_Reports!$C:$C,$B60))</x:f>
      </x:c>
      <x:c r="I60" s="5">
        <x:f>IF($A60="","",SUMIFS(Manager_Reports!$I:$I,Manager_Reports!$A:$A,Dashboard!$B$2,Manager_Reports!$C:$C,$B60))</x:f>
      </x:c>
      <x:c r="J60" s="5">
        <x:f>IF($A60="","",SUMIFS(Manager_Reports!$J:$J,Manager_Reports!$A:$A,Dashboard!$B$2,Manager_Reports!$C:$C,$B60))</x:f>
      </x:c>
      <x:c r="K60" s="5">
        <x:f>IF($A60="","",SUMIFS(Manager_Reports!$K:$K,Manager_Reports!$A:$A,Dashboard!$B$2,Manager_Reports!$C:$C,$B60))</x:f>
      </x:c>
      <x:c r="L60" s="5">
        <x:f>IF($A60="","",SUMIFS(Manager_Reports!$L:$L,Manager_Reports!$A:$A,Dashboard!$B$2,Manager_Reports!$C:$C,$B60))</x:f>
      </x:c>
      <x:c r="M60" s="5">
        <x:f>IF($A60="","",SUMIFS(Manager_Reports!$M:$M,Manager_Reports!$A:$A,Dashboard!$B$2,Manager_Reports!$C:$C,$B60))</x:f>
      </x:c>
      <x:c r="N60" s="5">
        <x:f>IF($A60="","",SUMIFS(Manager_Reports!$N:$N,Manager_Reports!$A:$A,Dashboard!$B$2,Manager_Reports!$C:$C,$B60))</x:f>
      </x:c>
      <x:c r="O60" s="5">
        <x:f>IF($A60="","",SUMIFS(Manager_Reports!$O:$O,Manager_Reports!$A:$A,Dashboard!$B$2,Manager_Reports!$C:$C,$B60))</x:f>
      </x:c>
      <x:c r="P60" s="5">
        <x:f>IF($A60="","",SUMIFS(Manager_Reports!$P:$P,Manager_Reports!$A:$A,Dashboard!$B$2,Manager_Reports!$C:$C,$B60))</x:f>
      </x:c>
      <x:c r="Q60" s="5">
        <x:f>IF($A60="","",SUMIFS(Manager_Reports!$Q:$Q,Manager_Reports!$A:$A,Dashboard!$B$2,Manager_Reports!$C:$C,$B60))</x:f>
      </x:c>
    </x:row>
    <x:row r="61">
      <x:c r="A61" s="5">
        <x:f>Settings!A61</x:f>
        <x:v>0</x:v>
      </x:c>
      <x:c r="B61" s="5">
        <x:f>Settings!B61</x:f>
        <x:v>0</x:v>
      </x:c>
      <x:c r="C61" s="5">
        <x:f>Settings!C61</x:f>
        <x:v>0</x:v>
      </x:c>
      <x:c r="D61" s="5">
        <x:f>IF($A61="","",COUNTIFS(Manager_Reports!$A:$A,Dashboard!$B$2,Manager_Reports!$C:$C,$B61))</x:f>
      </x:c>
      <x:c r="E61" s="5">
        <x:f>IF($A61="","",IFERROR(LOOKUP(2,1/((Manager_Reports!$A:$A=Dashboard!$B$2)*(Manager_Reports!$C:$C=$B61)),Manager_Reports!$T:$T),""))</x:f>
      </x:c>
      <x:c r="F61" s="5">
        <x:f>IF($A61="","",SUMIFS(Manager_Reports!$F:$F,Manager_Reports!$A:$A,Dashboard!$B$2,Manager_Reports!$C:$C,$B61))</x:f>
      </x:c>
      <x:c r="G61" s="5">
        <x:f>IF($A61="","",SUMIFS(Manager_Reports!$G:$G,Manager_Reports!$A:$A,Dashboard!$B$2,Manager_Reports!$C:$C,$B61))</x:f>
      </x:c>
      <x:c r="H61" s="5">
        <x:f>IF($A61="","",SUMIFS(Manager_Reports!$H:$H,Manager_Reports!$A:$A,Dashboard!$B$2,Manager_Reports!$C:$C,$B61))</x:f>
      </x:c>
      <x:c r="I61" s="5">
        <x:f>IF($A61="","",SUMIFS(Manager_Reports!$I:$I,Manager_Reports!$A:$A,Dashboard!$B$2,Manager_Reports!$C:$C,$B61))</x:f>
      </x:c>
      <x:c r="J61" s="5">
        <x:f>IF($A61="","",SUMIFS(Manager_Reports!$J:$J,Manager_Reports!$A:$A,Dashboard!$B$2,Manager_Reports!$C:$C,$B61))</x:f>
      </x:c>
      <x:c r="K61" s="5">
        <x:f>IF($A61="","",SUMIFS(Manager_Reports!$K:$K,Manager_Reports!$A:$A,Dashboard!$B$2,Manager_Reports!$C:$C,$B61))</x:f>
      </x:c>
      <x:c r="L61" s="5">
        <x:f>IF($A61="","",SUMIFS(Manager_Reports!$L:$L,Manager_Reports!$A:$A,Dashboard!$B$2,Manager_Reports!$C:$C,$B61))</x:f>
      </x:c>
      <x:c r="M61" s="5">
        <x:f>IF($A61="","",SUMIFS(Manager_Reports!$M:$M,Manager_Reports!$A:$A,Dashboard!$B$2,Manager_Reports!$C:$C,$B61))</x:f>
      </x:c>
      <x:c r="N61" s="5">
        <x:f>IF($A61="","",SUMIFS(Manager_Reports!$N:$N,Manager_Reports!$A:$A,Dashboard!$B$2,Manager_Reports!$C:$C,$B61))</x:f>
      </x:c>
      <x:c r="O61" s="5">
        <x:f>IF($A61="","",SUMIFS(Manager_Reports!$O:$O,Manager_Reports!$A:$A,Dashboard!$B$2,Manager_Reports!$C:$C,$B61))</x:f>
      </x:c>
      <x:c r="P61" s="5">
        <x:f>IF($A61="","",SUMIFS(Manager_Reports!$P:$P,Manager_Reports!$A:$A,Dashboard!$B$2,Manager_Reports!$C:$C,$B61))</x:f>
      </x:c>
      <x:c r="Q61" s="5">
        <x:f>IF($A61="","",SUMIFS(Manager_Reports!$Q:$Q,Manager_Reports!$A:$A,Dashboard!$B$2,Manager_Reports!$C:$C,$B61))</x:f>
      </x:c>
    </x:row>
    <x:row r="62">
      <x:c r="A62" s="5">
        <x:f>Settings!A62</x:f>
        <x:v>0</x:v>
      </x:c>
      <x:c r="B62" s="5">
        <x:f>Settings!B62</x:f>
        <x:v>0</x:v>
      </x:c>
      <x:c r="C62" s="5">
        <x:f>Settings!C62</x:f>
        <x:v>0</x:v>
      </x:c>
      <x:c r="D62" s="5">
        <x:f>IF($A62="","",COUNTIFS(Manager_Reports!$A:$A,Dashboard!$B$2,Manager_Reports!$C:$C,$B62))</x:f>
      </x:c>
      <x:c r="E62" s="5">
        <x:f>IF($A62="","",IFERROR(LOOKUP(2,1/((Manager_Reports!$A:$A=Dashboard!$B$2)*(Manager_Reports!$C:$C=$B62)),Manager_Reports!$T:$T),""))</x:f>
      </x:c>
      <x:c r="F62" s="5">
        <x:f>IF($A62="","",SUMIFS(Manager_Reports!$F:$F,Manager_Reports!$A:$A,Dashboard!$B$2,Manager_Reports!$C:$C,$B62))</x:f>
      </x:c>
      <x:c r="G62" s="5">
        <x:f>IF($A62="","",SUMIFS(Manager_Reports!$G:$G,Manager_Reports!$A:$A,Dashboard!$B$2,Manager_Reports!$C:$C,$B62))</x:f>
      </x:c>
      <x:c r="H62" s="5">
        <x:f>IF($A62="","",SUMIFS(Manager_Reports!$H:$H,Manager_Reports!$A:$A,Dashboard!$B$2,Manager_Reports!$C:$C,$B62))</x:f>
      </x:c>
      <x:c r="I62" s="5">
        <x:f>IF($A62="","",SUMIFS(Manager_Reports!$I:$I,Manager_Reports!$A:$A,Dashboard!$B$2,Manager_Reports!$C:$C,$B62))</x:f>
      </x:c>
      <x:c r="J62" s="5">
        <x:f>IF($A62="","",SUMIFS(Manager_Reports!$J:$J,Manager_Reports!$A:$A,Dashboard!$B$2,Manager_Reports!$C:$C,$B62))</x:f>
      </x:c>
      <x:c r="K62" s="5">
        <x:f>IF($A62="","",SUMIFS(Manager_Reports!$K:$K,Manager_Reports!$A:$A,Dashboard!$B$2,Manager_Reports!$C:$C,$B62))</x:f>
      </x:c>
      <x:c r="L62" s="5">
        <x:f>IF($A62="","",SUMIFS(Manager_Reports!$L:$L,Manager_Reports!$A:$A,Dashboard!$B$2,Manager_Reports!$C:$C,$B62))</x:f>
      </x:c>
      <x:c r="M62" s="5">
        <x:f>IF($A62="","",SUMIFS(Manager_Reports!$M:$M,Manager_Reports!$A:$A,Dashboard!$B$2,Manager_Reports!$C:$C,$B62))</x:f>
      </x:c>
      <x:c r="N62" s="5">
        <x:f>IF($A62="","",SUMIFS(Manager_Reports!$N:$N,Manager_Reports!$A:$A,Dashboard!$B$2,Manager_Reports!$C:$C,$B62))</x:f>
      </x:c>
      <x:c r="O62" s="5">
        <x:f>IF($A62="","",SUMIFS(Manager_Reports!$O:$O,Manager_Reports!$A:$A,Dashboard!$B$2,Manager_Reports!$C:$C,$B62))</x:f>
      </x:c>
      <x:c r="P62" s="5">
        <x:f>IF($A62="","",SUMIFS(Manager_Reports!$P:$P,Manager_Reports!$A:$A,Dashboard!$B$2,Manager_Reports!$C:$C,$B62))</x:f>
      </x:c>
      <x:c r="Q62" s="5">
        <x:f>IF($A62="","",SUMIFS(Manager_Reports!$Q:$Q,Manager_Reports!$A:$A,Dashboard!$B$2,Manager_Reports!$C:$C,$B62))</x:f>
      </x:c>
    </x:row>
    <x:row r="63">
      <x:c r="A63" s="5">
        <x:f>Settings!A63</x:f>
        <x:v>0</x:v>
      </x:c>
      <x:c r="B63" s="5">
        <x:f>Settings!B63</x:f>
        <x:v>0</x:v>
      </x:c>
      <x:c r="C63" s="5">
        <x:f>Settings!C63</x:f>
        <x:v>0</x:v>
      </x:c>
      <x:c r="D63" s="5">
        <x:f>IF($A63="","",COUNTIFS(Manager_Reports!$A:$A,Dashboard!$B$2,Manager_Reports!$C:$C,$B63))</x:f>
      </x:c>
      <x:c r="E63" s="5">
        <x:f>IF($A63="","",IFERROR(LOOKUP(2,1/((Manager_Reports!$A:$A=Dashboard!$B$2)*(Manager_Reports!$C:$C=$B63)),Manager_Reports!$T:$T),""))</x:f>
      </x:c>
      <x:c r="F63" s="5">
        <x:f>IF($A63="","",SUMIFS(Manager_Reports!$F:$F,Manager_Reports!$A:$A,Dashboard!$B$2,Manager_Reports!$C:$C,$B63))</x:f>
      </x:c>
      <x:c r="G63" s="5">
        <x:f>IF($A63="","",SUMIFS(Manager_Reports!$G:$G,Manager_Reports!$A:$A,Dashboard!$B$2,Manager_Reports!$C:$C,$B63))</x:f>
      </x:c>
      <x:c r="H63" s="5">
        <x:f>IF($A63="","",SUMIFS(Manager_Reports!$H:$H,Manager_Reports!$A:$A,Dashboard!$B$2,Manager_Reports!$C:$C,$B63))</x:f>
      </x:c>
      <x:c r="I63" s="5">
        <x:f>IF($A63="","",SUMIFS(Manager_Reports!$I:$I,Manager_Reports!$A:$A,Dashboard!$B$2,Manager_Reports!$C:$C,$B63))</x:f>
      </x:c>
      <x:c r="J63" s="5">
        <x:f>IF($A63="","",SUMIFS(Manager_Reports!$J:$J,Manager_Reports!$A:$A,Dashboard!$B$2,Manager_Reports!$C:$C,$B63))</x:f>
      </x:c>
      <x:c r="K63" s="5">
        <x:f>IF($A63="","",SUMIFS(Manager_Reports!$K:$K,Manager_Reports!$A:$A,Dashboard!$B$2,Manager_Reports!$C:$C,$B63))</x:f>
      </x:c>
      <x:c r="L63" s="5">
        <x:f>IF($A63="","",SUMIFS(Manager_Reports!$L:$L,Manager_Reports!$A:$A,Dashboard!$B$2,Manager_Reports!$C:$C,$B63))</x:f>
      </x:c>
      <x:c r="M63" s="5">
        <x:f>IF($A63="","",SUMIFS(Manager_Reports!$M:$M,Manager_Reports!$A:$A,Dashboard!$B$2,Manager_Reports!$C:$C,$B63))</x:f>
      </x:c>
      <x:c r="N63" s="5">
        <x:f>IF($A63="","",SUMIFS(Manager_Reports!$N:$N,Manager_Reports!$A:$A,Dashboard!$B$2,Manager_Reports!$C:$C,$B63))</x:f>
      </x:c>
      <x:c r="O63" s="5">
        <x:f>IF($A63="","",SUMIFS(Manager_Reports!$O:$O,Manager_Reports!$A:$A,Dashboard!$B$2,Manager_Reports!$C:$C,$B63))</x:f>
      </x:c>
      <x:c r="P63" s="5">
        <x:f>IF($A63="","",SUMIFS(Manager_Reports!$P:$P,Manager_Reports!$A:$A,Dashboard!$B$2,Manager_Reports!$C:$C,$B63))</x:f>
      </x:c>
      <x:c r="Q63" s="5">
        <x:f>IF($A63="","",SUMIFS(Manager_Reports!$Q:$Q,Manager_Reports!$A:$A,Dashboard!$B$2,Manager_Reports!$C:$C,$B63))</x:f>
      </x:c>
    </x:row>
    <x:row r="64">
      <x:c r="A64" s="5">
        <x:f>Settings!A64</x:f>
        <x:v>0</x:v>
      </x:c>
      <x:c r="B64" s="5">
        <x:f>Settings!B64</x:f>
        <x:v>0</x:v>
      </x:c>
      <x:c r="C64" s="5">
        <x:f>Settings!C64</x:f>
        <x:v>0</x:v>
      </x:c>
      <x:c r="D64" s="5">
        <x:f>IF($A64="","",COUNTIFS(Manager_Reports!$A:$A,Dashboard!$B$2,Manager_Reports!$C:$C,$B64))</x:f>
      </x:c>
      <x:c r="E64" s="5">
        <x:f>IF($A64="","",IFERROR(LOOKUP(2,1/((Manager_Reports!$A:$A=Dashboard!$B$2)*(Manager_Reports!$C:$C=$B64)),Manager_Reports!$T:$T),""))</x:f>
      </x:c>
      <x:c r="F64" s="5">
        <x:f>IF($A64="","",SUMIFS(Manager_Reports!$F:$F,Manager_Reports!$A:$A,Dashboard!$B$2,Manager_Reports!$C:$C,$B64))</x:f>
      </x:c>
      <x:c r="G64" s="5">
        <x:f>IF($A64="","",SUMIFS(Manager_Reports!$G:$G,Manager_Reports!$A:$A,Dashboard!$B$2,Manager_Reports!$C:$C,$B64))</x:f>
      </x:c>
      <x:c r="H64" s="5">
        <x:f>IF($A64="","",SUMIFS(Manager_Reports!$H:$H,Manager_Reports!$A:$A,Dashboard!$B$2,Manager_Reports!$C:$C,$B64))</x:f>
      </x:c>
      <x:c r="I64" s="5">
        <x:f>IF($A64="","",SUMIFS(Manager_Reports!$I:$I,Manager_Reports!$A:$A,Dashboard!$B$2,Manager_Reports!$C:$C,$B64))</x:f>
      </x:c>
      <x:c r="J64" s="5">
        <x:f>IF($A64="","",SUMIFS(Manager_Reports!$J:$J,Manager_Reports!$A:$A,Dashboard!$B$2,Manager_Reports!$C:$C,$B64))</x:f>
      </x:c>
      <x:c r="K64" s="5">
        <x:f>IF($A64="","",SUMIFS(Manager_Reports!$K:$K,Manager_Reports!$A:$A,Dashboard!$B$2,Manager_Reports!$C:$C,$B64))</x:f>
      </x:c>
      <x:c r="L64" s="5">
        <x:f>IF($A64="","",SUMIFS(Manager_Reports!$L:$L,Manager_Reports!$A:$A,Dashboard!$B$2,Manager_Reports!$C:$C,$B64))</x:f>
      </x:c>
      <x:c r="M64" s="5">
        <x:f>IF($A64="","",SUMIFS(Manager_Reports!$M:$M,Manager_Reports!$A:$A,Dashboard!$B$2,Manager_Reports!$C:$C,$B64))</x:f>
      </x:c>
      <x:c r="N64" s="5">
        <x:f>IF($A64="","",SUMIFS(Manager_Reports!$N:$N,Manager_Reports!$A:$A,Dashboard!$B$2,Manager_Reports!$C:$C,$B64))</x:f>
      </x:c>
      <x:c r="O64" s="5">
        <x:f>IF($A64="","",SUMIFS(Manager_Reports!$O:$O,Manager_Reports!$A:$A,Dashboard!$B$2,Manager_Reports!$C:$C,$B64))</x:f>
      </x:c>
      <x:c r="P64" s="5">
        <x:f>IF($A64="","",SUMIFS(Manager_Reports!$P:$P,Manager_Reports!$A:$A,Dashboard!$B$2,Manager_Reports!$C:$C,$B64))</x:f>
      </x:c>
      <x:c r="Q64" s="5">
        <x:f>IF($A64="","",SUMIFS(Manager_Reports!$Q:$Q,Manager_Reports!$A:$A,Dashboard!$B$2,Manager_Reports!$C:$C,$B64))</x:f>
      </x:c>
    </x:row>
    <x:row r="65">
      <x:c r="A65" s="5">
        <x:f>Settings!A65</x:f>
        <x:v>0</x:v>
      </x:c>
      <x:c r="B65" s="5">
        <x:f>Settings!B65</x:f>
        <x:v>0</x:v>
      </x:c>
      <x:c r="C65" s="5">
        <x:f>Settings!C65</x:f>
        <x:v>0</x:v>
      </x:c>
      <x:c r="D65" s="5">
        <x:f>IF($A65="","",COUNTIFS(Manager_Reports!$A:$A,Dashboard!$B$2,Manager_Reports!$C:$C,$B65))</x:f>
      </x:c>
      <x:c r="E65" s="5">
        <x:f>IF($A65="","",IFERROR(LOOKUP(2,1/((Manager_Reports!$A:$A=Dashboard!$B$2)*(Manager_Reports!$C:$C=$B65)),Manager_Reports!$T:$T),""))</x:f>
      </x:c>
      <x:c r="F65" s="5">
        <x:f>IF($A65="","",SUMIFS(Manager_Reports!$F:$F,Manager_Reports!$A:$A,Dashboard!$B$2,Manager_Reports!$C:$C,$B65))</x:f>
      </x:c>
      <x:c r="G65" s="5">
        <x:f>IF($A65="","",SUMIFS(Manager_Reports!$G:$G,Manager_Reports!$A:$A,Dashboard!$B$2,Manager_Reports!$C:$C,$B65))</x:f>
      </x:c>
      <x:c r="H65" s="5">
        <x:f>IF($A65="","",SUMIFS(Manager_Reports!$H:$H,Manager_Reports!$A:$A,Dashboard!$B$2,Manager_Reports!$C:$C,$B65))</x:f>
      </x:c>
      <x:c r="I65" s="5">
        <x:f>IF($A65="","",SUMIFS(Manager_Reports!$I:$I,Manager_Reports!$A:$A,Dashboard!$B$2,Manager_Reports!$C:$C,$B65))</x:f>
      </x:c>
      <x:c r="J65" s="5">
        <x:f>IF($A65="","",SUMIFS(Manager_Reports!$J:$J,Manager_Reports!$A:$A,Dashboard!$B$2,Manager_Reports!$C:$C,$B65))</x:f>
      </x:c>
      <x:c r="K65" s="5">
        <x:f>IF($A65="","",SUMIFS(Manager_Reports!$K:$K,Manager_Reports!$A:$A,Dashboard!$B$2,Manager_Reports!$C:$C,$B65))</x:f>
      </x:c>
      <x:c r="L65" s="5">
        <x:f>IF($A65="","",SUMIFS(Manager_Reports!$L:$L,Manager_Reports!$A:$A,Dashboard!$B$2,Manager_Reports!$C:$C,$B65))</x:f>
      </x:c>
      <x:c r="M65" s="5">
        <x:f>IF($A65="","",SUMIFS(Manager_Reports!$M:$M,Manager_Reports!$A:$A,Dashboard!$B$2,Manager_Reports!$C:$C,$B65))</x:f>
      </x:c>
      <x:c r="N65" s="5">
        <x:f>IF($A65="","",SUMIFS(Manager_Reports!$N:$N,Manager_Reports!$A:$A,Dashboard!$B$2,Manager_Reports!$C:$C,$B65))</x:f>
      </x:c>
      <x:c r="O65" s="5">
        <x:f>IF($A65="","",SUMIFS(Manager_Reports!$O:$O,Manager_Reports!$A:$A,Dashboard!$B$2,Manager_Reports!$C:$C,$B65))</x:f>
      </x:c>
      <x:c r="P65" s="5">
        <x:f>IF($A65="","",SUMIFS(Manager_Reports!$P:$P,Manager_Reports!$A:$A,Dashboard!$B$2,Manager_Reports!$C:$C,$B65))</x:f>
      </x:c>
      <x:c r="Q65" s="5">
        <x:f>IF($A65="","",SUMIFS(Manager_Reports!$Q:$Q,Manager_Reports!$A:$A,Dashboard!$B$2,Manager_Reports!$C:$C,$B65))</x:f>
      </x:c>
    </x:row>
    <x:row r="66">
      <x:c r="A66" s="5">
        <x:f>Settings!A66</x:f>
        <x:v>0</x:v>
      </x:c>
      <x:c r="B66" s="5">
        <x:f>Settings!B66</x:f>
        <x:v>0</x:v>
      </x:c>
      <x:c r="C66" s="5">
        <x:f>Settings!C66</x:f>
        <x:v>0</x:v>
      </x:c>
      <x:c r="D66" s="5">
        <x:f>IF($A66="","",COUNTIFS(Manager_Reports!$A:$A,Dashboard!$B$2,Manager_Reports!$C:$C,$B66))</x:f>
      </x:c>
      <x:c r="E66" s="5">
        <x:f>IF($A66="","",IFERROR(LOOKUP(2,1/((Manager_Reports!$A:$A=Dashboard!$B$2)*(Manager_Reports!$C:$C=$B66)),Manager_Reports!$T:$T),""))</x:f>
      </x:c>
      <x:c r="F66" s="5">
        <x:f>IF($A66="","",SUMIFS(Manager_Reports!$F:$F,Manager_Reports!$A:$A,Dashboard!$B$2,Manager_Reports!$C:$C,$B66))</x:f>
      </x:c>
      <x:c r="G66" s="5">
        <x:f>IF($A66="","",SUMIFS(Manager_Reports!$G:$G,Manager_Reports!$A:$A,Dashboard!$B$2,Manager_Reports!$C:$C,$B66))</x:f>
      </x:c>
      <x:c r="H66" s="5">
        <x:f>IF($A66="","",SUMIFS(Manager_Reports!$H:$H,Manager_Reports!$A:$A,Dashboard!$B$2,Manager_Reports!$C:$C,$B66))</x:f>
      </x:c>
      <x:c r="I66" s="5">
        <x:f>IF($A66="","",SUMIFS(Manager_Reports!$I:$I,Manager_Reports!$A:$A,Dashboard!$B$2,Manager_Reports!$C:$C,$B66))</x:f>
      </x:c>
      <x:c r="J66" s="5">
        <x:f>IF($A66="","",SUMIFS(Manager_Reports!$J:$J,Manager_Reports!$A:$A,Dashboard!$B$2,Manager_Reports!$C:$C,$B66))</x:f>
      </x:c>
      <x:c r="K66" s="5">
        <x:f>IF($A66="","",SUMIFS(Manager_Reports!$K:$K,Manager_Reports!$A:$A,Dashboard!$B$2,Manager_Reports!$C:$C,$B66))</x:f>
      </x:c>
      <x:c r="L66" s="5">
        <x:f>IF($A66="","",SUMIFS(Manager_Reports!$L:$L,Manager_Reports!$A:$A,Dashboard!$B$2,Manager_Reports!$C:$C,$B66))</x:f>
      </x:c>
      <x:c r="M66" s="5">
        <x:f>IF($A66="","",SUMIFS(Manager_Reports!$M:$M,Manager_Reports!$A:$A,Dashboard!$B$2,Manager_Reports!$C:$C,$B66))</x:f>
      </x:c>
      <x:c r="N66" s="5">
        <x:f>IF($A66="","",SUMIFS(Manager_Reports!$N:$N,Manager_Reports!$A:$A,Dashboard!$B$2,Manager_Reports!$C:$C,$B66))</x:f>
      </x:c>
      <x:c r="O66" s="5">
        <x:f>IF($A66="","",SUMIFS(Manager_Reports!$O:$O,Manager_Reports!$A:$A,Dashboard!$B$2,Manager_Reports!$C:$C,$B66))</x:f>
      </x:c>
      <x:c r="P66" s="5">
        <x:f>IF($A66="","",SUMIFS(Manager_Reports!$P:$P,Manager_Reports!$A:$A,Dashboard!$B$2,Manager_Reports!$C:$C,$B66))</x:f>
      </x:c>
      <x:c r="Q66" s="5">
        <x:f>IF($A66="","",SUMIFS(Manager_Reports!$Q:$Q,Manager_Reports!$A:$A,Dashboard!$B$2,Manager_Reports!$C:$C,$B66))</x:f>
      </x:c>
    </x:row>
    <x:row r="67">
      <x:c r="A67" s="5">
        <x:f>Settings!A67</x:f>
        <x:v>0</x:v>
      </x:c>
      <x:c r="B67" s="5">
        <x:f>Settings!B67</x:f>
        <x:v>0</x:v>
      </x:c>
      <x:c r="C67" s="5">
        <x:f>Settings!C67</x:f>
        <x:v>0</x:v>
      </x:c>
      <x:c r="D67" s="5">
        <x:f>IF($A67="","",COUNTIFS(Manager_Reports!$A:$A,Dashboard!$B$2,Manager_Reports!$C:$C,$B67))</x:f>
      </x:c>
      <x:c r="E67" s="5">
        <x:f>IF($A67="","",IFERROR(LOOKUP(2,1/((Manager_Reports!$A:$A=Dashboard!$B$2)*(Manager_Reports!$C:$C=$B67)),Manager_Reports!$T:$T),""))</x:f>
      </x:c>
      <x:c r="F67" s="5">
        <x:f>IF($A67="","",SUMIFS(Manager_Reports!$F:$F,Manager_Reports!$A:$A,Dashboard!$B$2,Manager_Reports!$C:$C,$B67))</x:f>
      </x:c>
      <x:c r="G67" s="5">
        <x:f>IF($A67="","",SUMIFS(Manager_Reports!$G:$G,Manager_Reports!$A:$A,Dashboard!$B$2,Manager_Reports!$C:$C,$B67))</x:f>
      </x:c>
      <x:c r="H67" s="5">
        <x:f>IF($A67="","",SUMIFS(Manager_Reports!$H:$H,Manager_Reports!$A:$A,Dashboard!$B$2,Manager_Reports!$C:$C,$B67))</x:f>
      </x:c>
      <x:c r="I67" s="5">
        <x:f>IF($A67="","",SUMIFS(Manager_Reports!$I:$I,Manager_Reports!$A:$A,Dashboard!$B$2,Manager_Reports!$C:$C,$B67))</x:f>
      </x:c>
      <x:c r="J67" s="5">
        <x:f>IF($A67="","",SUMIFS(Manager_Reports!$J:$J,Manager_Reports!$A:$A,Dashboard!$B$2,Manager_Reports!$C:$C,$B67))</x:f>
      </x:c>
      <x:c r="K67" s="5">
        <x:f>IF($A67="","",SUMIFS(Manager_Reports!$K:$K,Manager_Reports!$A:$A,Dashboard!$B$2,Manager_Reports!$C:$C,$B67))</x:f>
      </x:c>
      <x:c r="L67" s="5">
        <x:f>IF($A67="","",SUMIFS(Manager_Reports!$L:$L,Manager_Reports!$A:$A,Dashboard!$B$2,Manager_Reports!$C:$C,$B67))</x:f>
      </x:c>
      <x:c r="M67" s="5">
        <x:f>IF($A67="","",SUMIFS(Manager_Reports!$M:$M,Manager_Reports!$A:$A,Dashboard!$B$2,Manager_Reports!$C:$C,$B67))</x:f>
      </x:c>
      <x:c r="N67" s="5">
        <x:f>IF($A67="","",SUMIFS(Manager_Reports!$N:$N,Manager_Reports!$A:$A,Dashboard!$B$2,Manager_Reports!$C:$C,$B67))</x:f>
      </x:c>
      <x:c r="O67" s="5">
        <x:f>IF($A67="","",SUMIFS(Manager_Reports!$O:$O,Manager_Reports!$A:$A,Dashboard!$B$2,Manager_Reports!$C:$C,$B67))</x:f>
      </x:c>
      <x:c r="P67" s="5">
        <x:f>IF($A67="","",SUMIFS(Manager_Reports!$P:$P,Manager_Reports!$A:$A,Dashboard!$B$2,Manager_Reports!$C:$C,$B67))</x:f>
      </x:c>
      <x:c r="Q67" s="5">
        <x:f>IF($A67="","",SUMIFS(Manager_Reports!$Q:$Q,Manager_Reports!$A:$A,Dashboard!$B$2,Manager_Reports!$C:$C,$B67))</x:f>
      </x:c>
    </x:row>
    <x:row r="68">
      <x:c r="A68" s="5">
        <x:f>Settings!A68</x:f>
        <x:v>0</x:v>
      </x:c>
      <x:c r="B68" s="5">
        <x:f>Settings!B68</x:f>
        <x:v>0</x:v>
      </x:c>
      <x:c r="C68" s="5">
        <x:f>Settings!C68</x:f>
        <x:v>0</x:v>
      </x:c>
      <x:c r="D68" s="5">
        <x:f>IF($A68="","",COUNTIFS(Manager_Reports!$A:$A,Dashboard!$B$2,Manager_Reports!$C:$C,$B68))</x:f>
      </x:c>
      <x:c r="E68" s="5">
        <x:f>IF($A68="","",IFERROR(LOOKUP(2,1/((Manager_Reports!$A:$A=Dashboard!$B$2)*(Manager_Reports!$C:$C=$B68)),Manager_Reports!$T:$T),""))</x:f>
      </x:c>
      <x:c r="F68" s="5">
        <x:f>IF($A68="","",SUMIFS(Manager_Reports!$F:$F,Manager_Reports!$A:$A,Dashboard!$B$2,Manager_Reports!$C:$C,$B68))</x:f>
      </x:c>
      <x:c r="G68" s="5">
        <x:f>IF($A68="","",SUMIFS(Manager_Reports!$G:$G,Manager_Reports!$A:$A,Dashboard!$B$2,Manager_Reports!$C:$C,$B68))</x:f>
      </x:c>
      <x:c r="H68" s="5">
        <x:f>IF($A68="","",SUMIFS(Manager_Reports!$H:$H,Manager_Reports!$A:$A,Dashboard!$B$2,Manager_Reports!$C:$C,$B68))</x:f>
      </x:c>
      <x:c r="I68" s="5">
        <x:f>IF($A68="","",SUMIFS(Manager_Reports!$I:$I,Manager_Reports!$A:$A,Dashboard!$B$2,Manager_Reports!$C:$C,$B68))</x:f>
      </x:c>
      <x:c r="J68" s="5">
        <x:f>IF($A68="","",SUMIFS(Manager_Reports!$J:$J,Manager_Reports!$A:$A,Dashboard!$B$2,Manager_Reports!$C:$C,$B68))</x:f>
      </x:c>
      <x:c r="K68" s="5">
        <x:f>IF($A68="","",SUMIFS(Manager_Reports!$K:$K,Manager_Reports!$A:$A,Dashboard!$B$2,Manager_Reports!$C:$C,$B68))</x:f>
      </x:c>
      <x:c r="L68" s="5">
        <x:f>IF($A68="","",SUMIFS(Manager_Reports!$L:$L,Manager_Reports!$A:$A,Dashboard!$B$2,Manager_Reports!$C:$C,$B68))</x:f>
      </x:c>
      <x:c r="M68" s="5">
        <x:f>IF($A68="","",SUMIFS(Manager_Reports!$M:$M,Manager_Reports!$A:$A,Dashboard!$B$2,Manager_Reports!$C:$C,$B68))</x:f>
      </x:c>
      <x:c r="N68" s="5">
        <x:f>IF($A68="","",SUMIFS(Manager_Reports!$N:$N,Manager_Reports!$A:$A,Dashboard!$B$2,Manager_Reports!$C:$C,$B68))</x:f>
      </x:c>
      <x:c r="O68" s="5">
        <x:f>IF($A68="","",SUMIFS(Manager_Reports!$O:$O,Manager_Reports!$A:$A,Dashboard!$B$2,Manager_Reports!$C:$C,$B68))</x:f>
      </x:c>
      <x:c r="P68" s="5">
        <x:f>IF($A68="","",SUMIFS(Manager_Reports!$P:$P,Manager_Reports!$A:$A,Dashboard!$B$2,Manager_Reports!$C:$C,$B68))</x:f>
      </x:c>
      <x:c r="Q68" s="5">
        <x:f>IF($A68="","",SUMIFS(Manager_Reports!$Q:$Q,Manager_Reports!$A:$A,Dashboard!$B$2,Manager_Reports!$C:$C,$B68))</x:f>
      </x:c>
    </x:row>
    <x:row r="69">
      <x:c r="A69" s="5">
        <x:f>Settings!A69</x:f>
        <x:v>0</x:v>
      </x:c>
      <x:c r="B69" s="5">
        <x:f>Settings!B69</x:f>
        <x:v>0</x:v>
      </x:c>
      <x:c r="C69" s="5">
        <x:f>Settings!C69</x:f>
        <x:v>0</x:v>
      </x:c>
      <x:c r="D69" s="5">
        <x:f>IF($A69="","",COUNTIFS(Manager_Reports!$A:$A,Dashboard!$B$2,Manager_Reports!$C:$C,$B69))</x:f>
      </x:c>
      <x:c r="E69" s="5">
        <x:f>IF($A69="","",IFERROR(LOOKUP(2,1/((Manager_Reports!$A:$A=Dashboard!$B$2)*(Manager_Reports!$C:$C=$B69)),Manager_Reports!$T:$T),""))</x:f>
      </x:c>
      <x:c r="F69" s="5">
        <x:f>IF($A69="","",SUMIFS(Manager_Reports!$F:$F,Manager_Reports!$A:$A,Dashboard!$B$2,Manager_Reports!$C:$C,$B69))</x:f>
      </x:c>
      <x:c r="G69" s="5">
        <x:f>IF($A69="","",SUMIFS(Manager_Reports!$G:$G,Manager_Reports!$A:$A,Dashboard!$B$2,Manager_Reports!$C:$C,$B69))</x:f>
      </x:c>
      <x:c r="H69" s="5">
        <x:f>IF($A69="","",SUMIFS(Manager_Reports!$H:$H,Manager_Reports!$A:$A,Dashboard!$B$2,Manager_Reports!$C:$C,$B69))</x:f>
      </x:c>
      <x:c r="I69" s="5">
        <x:f>IF($A69="","",SUMIFS(Manager_Reports!$I:$I,Manager_Reports!$A:$A,Dashboard!$B$2,Manager_Reports!$C:$C,$B69))</x:f>
      </x:c>
      <x:c r="J69" s="5">
        <x:f>IF($A69="","",SUMIFS(Manager_Reports!$J:$J,Manager_Reports!$A:$A,Dashboard!$B$2,Manager_Reports!$C:$C,$B69))</x:f>
      </x:c>
      <x:c r="K69" s="5">
        <x:f>IF($A69="","",SUMIFS(Manager_Reports!$K:$K,Manager_Reports!$A:$A,Dashboard!$B$2,Manager_Reports!$C:$C,$B69))</x:f>
      </x:c>
      <x:c r="L69" s="5">
        <x:f>IF($A69="","",SUMIFS(Manager_Reports!$L:$L,Manager_Reports!$A:$A,Dashboard!$B$2,Manager_Reports!$C:$C,$B69))</x:f>
      </x:c>
      <x:c r="M69" s="5">
        <x:f>IF($A69="","",SUMIFS(Manager_Reports!$M:$M,Manager_Reports!$A:$A,Dashboard!$B$2,Manager_Reports!$C:$C,$B69))</x:f>
      </x:c>
      <x:c r="N69" s="5">
        <x:f>IF($A69="","",SUMIFS(Manager_Reports!$N:$N,Manager_Reports!$A:$A,Dashboard!$B$2,Manager_Reports!$C:$C,$B69))</x:f>
      </x:c>
      <x:c r="O69" s="5">
        <x:f>IF($A69="","",SUMIFS(Manager_Reports!$O:$O,Manager_Reports!$A:$A,Dashboard!$B$2,Manager_Reports!$C:$C,$B69))</x:f>
      </x:c>
      <x:c r="P69" s="5">
        <x:f>IF($A69="","",SUMIFS(Manager_Reports!$P:$P,Manager_Reports!$A:$A,Dashboard!$B$2,Manager_Reports!$C:$C,$B69))</x:f>
      </x:c>
      <x:c r="Q69" s="5">
        <x:f>IF($A69="","",SUMIFS(Manager_Reports!$Q:$Q,Manager_Reports!$A:$A,Dashboard!$B$2,Manager_Reports!$C:$C,$B69))</x:f>
      </x:c>
    </x:row>
    <x:row r="70">
      <x:c r="A70" s="5">
        <x:f>Settings!A70</x:f>
        <x:v>0</x:v>
      </x:c>
      <x:c r="B70" s="5">
        <x:f>Settings!B70</x:f>
        <x:v>0</x:v>
      </x:c>
      <x:c r="C70" s="5">
        <x:f>Settings!C70</x:f>
        <x:v>0</x:v>
      </x:c>
      <x:c r="D70" s="5">
        <x:f>IF($A70="","",COUNTIFS(Manager_Reports!$A:$A,Dashboard!$B$2,Manager_Reports!$C:$C,$B70))</x:f>
      </x:c>
      <x:c r="E70" s="5">
        <x:f>IF($A70="","",IFERROR(LOOKUP(2,1/((Manager_Reports!$A:$A=Dashboard!$B$2)*(Manager_Reports!$C:$C=$B70)),Manager_Reports!$T:$T),""))</x:f>
      </x:c>
      <x:c r="F70" s="5">
        <x:f>IF($A70="","",SUMIFS(Manager_Reports!$F:$F,Manager_Reports!$A:$A,Dashboard!$B$2,Manager_Reports!$C:$C,$B70))</x:f>
      </x:c>
      <x:c r="G70" s="5">
        <x:f>IF($A70="","",SUMIFS(Manager_Reports!$G:$G,Manager_Reports!$A:$A,Dashboard!$B$2,Manager_Reports!$C:$C,$B70))</x:f>
      </x:c>
      <x:c r="H70" s="5">
        <x:f>IF($A70="","",SUMIFS(Manager_Reports!$H:$H,Manager_Reports!$A:$A,Dashboard!$B$2,Manager_Reports!$C:$C,$B70))</x:f>
      </x:c>
      <x:c r="I70" s="5">
        <x:f>IF($A70="","",SUMIFS(Manager_Reports!$I:$I,Manager_Reports!$A:$A,Dashboard!$B$2,Manager_Reports!$C:$C,$B70))</x:f>
      </x:c>
      <x:c r="J70" s="5">
        <x:f>IF($A70="","",SUMIFS(Manager_Reports!$J:$J,Manager_Reports!$A:$A,Dashboard!$B$2,Manager_Reports!$C:$C,$B70))</x:f>
      </x:c>
      <x:c r="K70" s="5">
        <x:f>IF($A70="","",SUMIFS(Manager_Reports!$K:$K,Manager_Reports!$A:$A,Dashboard!$B$2,Manager_Reports!$C:$C,$B70))</x:f>
      </x:c>
      <x:c r="L70" s="5">
        <x:f>IF($A70="","",SUMIFS(Manager_Reports!$L:$L,Manager_Reports!$A:$A,Dashboard!$B$2,Manager_Reports!$C:$C,$B70))</x:f>
      </x:c>
      <x:c r="M70" s="5">
        <x:f>IF($A70="","",SUMIFS(Manager_Reports!$M:$M,Manager_Reports!$A:$A,Dashboard!$B$2,Manager_Reports!$C:$C,$B70))</x:f>
      </x:c>
      <x:c r="N70" s="5">
        <x:f>IF($A70="","",SUMIFS(Manager_Reports!$N:$N,Manager_Reports!$A:$A,Dashboard!$B$2,Manager_Reports!$C:$C,$B70))</x:f>
      </x:c>
      <x:c r="O70" s="5">
        <x:f>IF($A70="","",SUMIFS(Manager_Reports!$O:$O,Manager_Reports!$A:$A,Dashboard!$B$2,Manager_Reports!$C:$C,$B70))</x:f>
      </x:c>
      <x:c r="P70" s="5">
        <x:f>IF($A70="","",SUMIFS(Manager_Reports!$P:$P,Manager_Reports!$A:$A,Dashboard!$B$2,Manager_Reports!$C:$C,$B70))</x:f>
      </x:c>
      <x:c r="Q70" s="5">
        <x:f>IF($A70="","",SUMIFS(Manager_Reports!$Q:$Q,Manager_Reports!$A:$A,Dashboard!$B$2,Manager_Reports!$C:$C,$B70))</x:f>
      </x:c>
    </x:row>
    <x:row r="71">
      <x:c r="A71" s="5">
        <x:f>Settings!A71</x:f>
        <x:v>0</x:v>
      </x:c>
      <x:c r="B71" s="5">
        <x:f>Settings!B71</x:f>
        <x:v>0</x:v>
      </x:c>
      <x:c r="C71" s="5">
        <x:f>Settings!C71</x:f>
        <x:v>0</x:v>
      </x:c>
      <x:c r="D71" s="5">
        <x:f>IF($A71="","",COUNTIFS(Manager_Reports!$A:$A,Dashboard!$B$2,Manager_Reports!$C:$C,$B71))</x:f>
      </x:c>
      <x:c r="E71" s="5">
        <x:f>IF($A71="","",IFERROR(LOOKUP(2,1/((Manager_Reports!$A:$A=Dashboard!$B$2)*(Manager_Reports!$C:$C=$B71)),Manager_Reports!$T:$T),""))</x:f>
      </x:c>
      <x:c r="F71" s="5">
        <x:f>IF($A71="","",SUMIFS(Manager_Reports!$F:$F,Manager_Reports!$A:$A,Dashboard!$B$2,Manager_Reports!$C:$C,$B71))</x:f>
      </x:c>
      <x:c r="G71" s="5">
        <x:f>IF($A71="","",SUMIFS(Manager_Reports!$G:$G,Manager_Reports!$A:$A,Dashboard!$B$2,Manager_Reports!$C:$C,$B71))</x:f>
      </x:c>
      <x:c r="H71" s="5">
        <x:f>IF($A71="","",SUMIFS(Manager_Reports!$H:$H,Manager_Reports!$A:$A,Dashboard!$B$2,Manager_Reports!$C:$C,$B71))</x:f>
      </x:c>
      <x:c r="I71" s="5">
        <x:f>IF($A71="","",SUMIFS(Manager_Reports!$I:$I,Manager_Reports!$A:$A,Dashboard!$B$2,Manager_Reports!$C:$C,$B71))</x:f>
      </x:c>
      <x:c r="J71" s="5">
        <x:f>IF($A71="","",SUMIFS(Manager_Reports!$J:$J,Manager_Reports!$A:$A,Dashboard!$B$2,Manager_Reports!$C:$C,$B71))</x:f>
      </x:c>
      <x:c r="K71" s="5">
        <x:f>IF($A71="","",SUMIFS(Manager_Reports!$K:$K,Manager_Reports!$A:$A,Dashboard!$B$2,Manager_Reports!$C:$C,$B71))</x:f>
      </x:c>
      <x:c r="L71" s="5">
        <x:f>IF($A71="","",SUMIFS(Manager_Reports!$L:$L,Manager_Reports!$A:$A,Dashboard!$B$2,Manager_Reports!$C:$C,$B71))</x:f>
      </x:c>
      <x:c r="M71" s="5">
        <x:f>IF($A71="","",SUMIFS(Manager_Reports!$M:$M,Manager_Reports!$A:$A,Dashboard!$B$2,Manager_Reports!$C:$C,$B71))</x:f>
      </x:c>
      <x:c r="N71" s="5">
        <x:f>IF($A71="","",SUMIFS(Manager_Reports!$N:$N,Manager_Reports!$A:$A,Dashboard!$B$2,Manager_Reports!$C:$C,$B71))</x:f>
      </x:c>
      <x:c r="O71" s="5">
        <x:f>IF($A71="","",SUMIFS(Manager_Reports!$O:$O,Manager_Reports!$A:$A,Dashboard!$B$2,Manager_Reports!$C:$C,$B71))</x:f>
      </x:c>
      <x:c r="P71" s="5">
        <x:f>IF($A71="","",SUMIFS(Manager_Reports!$P:$P,Manager_Reports!$A:$A,Dashboard!$B$2,Manager_Reports!$C:$C,$B71))</x:f>
      </x:c>
      <x:c r="Q71" s="5">
        <x:f>IF($A71="","",SUMIFS(Manager_Reports!$Q:$Q,Manager_Reports!$A:$A,Dashboard!$B$2,Manager_Reports!$C:$C,$B71))</x:f>
      </x:c>
    </x:row>
    <x:row r="72">
      <x:c r="A72" s="5">
        <x:f>Settings!A72</x:f>
        <x:v>0</x:v>
      </x:c>
      <x:c r="B72" s="5">
        <x:f>Settings!B72</x:f>
        <x:v>0</x:v>
      </x:c>
      <x:c r="C72" s="5">
        <x:f>Settings!C72</x:f>
        <x:v>0</x:v>
      </x:c>
      <x:c r="D72" s="5">
        <x:f>IF($A72="","",COUNTIFS(Manager_Reports!$A:$A,Dashboard!$B$2,Manager_Reports!$C:$C,$B72))</x:f>
      </x:c>
      <x:c r="E72" s="5">
        <x:f>IF($A72="","",IFERROR(LOOKUP(2,1/((Manager_Reports!$A:$A=Dashboard!$B$2)*(Manager_Reports!$C:$C=$B72)),Manager_Reports!$T:$T),""))</x:f>
      </x:c>
      <x:c r="F72" s="5">
        <x:f>IF($A72="","",SUMIFS(Manager_Reports!$F:$F,Manager_Reports!$A:$A,Dashboard!$B$2,Manager_Reports!$C:$C,$B72))</x:f>
      </x:c>
      <x:c r="G72" s="5">
        <x:f>IF($A72="","",SUMIFS(Manager_Reports!$G:$G,Manager_Reports!$A:$A,Dashboard!$B$2,Manager_Reports!$C:$C,$B72))</x:f>
      </x:c>
      <x:c r="H72" s="5">
        <x:f>IF($A72="","",SUMIFS(Manager_Reports!$H:$H,Manager_Reports!$A:$A,Dashboard!$B$2,Manager_Reports!$C:$C,$B72))</x:f>
      </x:c>
      <x:c r="I72" s="5">
        <x:f>IF($A72="","",SUMIFS(Manager_Reports!$I:$I,Manager_Reports!$A:$A,Dashboard!$B$2,Manager_Reports!$C:$C,$B72))</x:f>
      </x:c>
      <x:c r="J72" s="5">
        <x:f>IF($A72="","",SUMIFS(Manager_Reports!$J:$J,Manager_Reports!$A:$A,Dashboard!$B$2,Manager_Reports!$C:$C,$B72))</x:f>
      </x:c>
      <x:c r="K72" s="5">
        <x:f>IF($A72="","",SUMIFS(Manager_Reports!$K:$K,Manager_Reports!$A:$A,Dashboard!$B$2,Manager_Reports!$C:$C,$B72))</x:f>
      </x:c>
      <x:c r="L72" s="5">
        <x:f>IF($A72="","",SUMIFS(Manager_Reports!$L:$L,Manager_Reports!$A:$A,Dashboard!$B$2,Manager_Reports!$C:$C,$B72))</x:f>
      </x:c>
      <x:c r="M72" s="5">
        <x:f>IF($A72="","",SUMIFS(Manager_Reports!$M:$M,Manager_Reports!$A:$A,Dashboard!$B$2,Manager_Reports!$C:$C,$B72))</x:f>
      </x:c>
      <x:c r="N72" s="5">
        <x:f>IF($A72="","",SUMIFS(Manager_Reports!$N:$N,Manager_Reports!$A:$A,Dashboard!$B$2,Manager_Reports!$C:$C,$B72))</x:f>
      </x:c>
      <x:c r="O72" s="5">
        <x:f>IF($A72="","",SUMIFS(Manager_Reports!$O:$O,Manager_Reports!$A:$A,Dashboard!$B$2,Manager_Reports!$C:$C,$B72))</x:f>
      </x:c>
      <x:c r="P72" s="5">
        <x:f>IF($A72="","",SUMIFS(Manager_Reports!$P:$P,Manager_Reports!$A:$A,Dashboard!$B$2,Manager_Reports!$C:$C,$B72))</x:f>
      </x:c>
      <x:c r="Q72" s="5">
        <x:f>IF($A72="","",SUMIFS(Manager_Reports!$Q:$Q,Manager_Reports!$A:$A,Dashboard!$B$2,Manager_Reports!$C:$C,$B72))</x:f>
      </x:c>
    </x:row>
    <x:row r="73">
      <x:c r="A73" s="5">
        <x:f>Settings!A73</x:f>
        <x:v>0</x:v>
      </x:c>
      <x:c r="B73" s="5">
        <x:f>Settings!B73</x:f>
        <x:v>0</x:v>
      </x:c>
      <x:c r="C73" s="5">
        <x:f>Settings!C73</x:f>
        <x:v>0</x:v>
      </x:c>
      <x:c r="D73" s="5">
        <x:f>IF($A73="","",COUNTIFS(Manager_Reports!$A:$A,Dashboard!$B$2,Manager_Reports!$C:$C,$B73))</x:f>
      </x:c>
      <x:c r="E73" s="5">
        <x:f>IF($A73="","",IFERROR(LOOKUP(2,1/((Manager_Reports!$A:$A=Dashboard!$B$2)*(Manager_Reports!$C:$C=$B73)),Manager_Reports!$T:$T),""))</x:f>
      </x:c>
      <x:c r="F73" s="5">
        <x:f>IF($A73="","",SUMIFS(Manager_Reports!$F:$F,Manager_Reports!$A:$A,Dashboard!$B$2,Manager_Reports!$C:$C,$B73))</x:f>
      </x:c>
      <x:c r="G73" s="5">
        <x:f>IF($A73="","",SUMIFS(Manager_Reports!$G:$G,Manager_Reports!$A:$A,Dashboard!$B$2,Manager_Reports!$C:$C,$B73))</x:f>
      </x:c>
      <x:c r="H73" s="5">
        <x:f>IF($A73="","",SUMIFS(Manager_Reports!$H:$H,Manager_Reports!$A:$A,Dashboard!$B$2,Manager_Reports!$C:$C,$B73))</x:f>
      </x:c>
      <x:c r="I73" s="5">
        <x:f>IF($A73="","",SUMIFS(Manager_Reports!$I:$I,Manager_Reports!$A:$A,Dashboard!$B$2,Manager_Reports!$C:$C,$B73))</x:f>
      </x:c>
      <x:c r="J73" s="5">
        <x:f>IF($A73="","",SUMIFS(Manager_Reports!$J:$J,Manager_Reports!$A:$A,Dashboard!$B$2,Manager_Reports!$C:$C,$B73))</x:f>
      </x:c>
      <x:c r="K73" s="5">
        <x:f>IF($A73="","",SUMIFS(Manager_Reports!$K:$K,Manager_Reports!$A:$A,Dashboard!$B$2,Manager_Reports!$C:$C,$B73))</x:f>
      </x:c>
      <x:c r="L73" s="5">
        <x:f>IF($A73="","",SUMIFS(Manager_Reports!$L:$L,Manager_Reports!$A:$A,Dashboard!$B$2,Manager_Reports!$C:$C,$B73))</x:f>
      </x:c>
      <x:c r="M73" s="5">
        <x:f>IF($A73="","",SUMIFS(Manager_Reports!$M:$M,Manager_Reports!$A:$A,Dashboard!$B$2,Manager_Reports!$C:$C,$B73))</x:f>
      </x:c>
      <x:c r="N73" s="5">
        <x:f>IF($A73="","",SUMIFS(Manager_Reports!$N:$N,Manager_Reports!$A:$A,Dashboard!$B$2,Manager_Reports!$C:$C,$B73))</x:f>
      </x:c>
      <x:c r="O73" s="5">
        <x:f>IF($A73="","",SUMIFS(Manager_Reports!$O:$O,Manager_Reports!$A:$A,Dashboard!$B$2,Manager_Reports!$C:$C,$B73))</x:f>
      </x:c>
      <x:c r="P73" s="5">
        <x:f>IF($A73="","",SUMIFS(Manager_Reports!$P:$P,Manager_Reports!$A:$A,Dashboard!$B$2,Manager_Reports!$C:$C,$B73))</x:f>
      </x:c>
      <x:c r="Q73" s="5">
        <x:f>IF($A73="","",SUMIFS(Manager_Reports!$Q:$Q,Manager_Reports!$A:$A,Dashboard!$B$2,Manager_Reports!$C:$C,$B73))</x:f>
      </x:c>
    </x:row>
    <x:row r="74">
      <x:c r="A74" s="5">
        <x:f>Settings!A74</x:f>
        <x:v>0</x:v>
      </x:c>
      <x:c r="B74" s="5">
        <x:f>Settings!B74</x:f>
        <x:v>0</x:v>
      </x:c>
      <x:c r="C74" s="5">
        <x:f>Settings!C74</x:f>
        <x:v>0</x:v>
      </x:c>
      <x:c r="D74" s="5">
        <x:f>IF($A74="","",COUNTIFS(Manager_Reports!$A:$A,Dashboard!$B$2,Manager_Reports!$C:$C,$B74))</x:f>
      </x:c>
      <x:c r="E74" s="5">
        <x:f>IF($A74="","",IFERROR(LOOKUP(2,1/((Manager_Reports!$A:$A=Dashboard!$B$2)*(Manager_Reports!$C:$C=$B74)),Manager_Reports!$T:$T),""))</x:f>
      </x:c>
      <x:c r="F74" s="5">
        <x:f>IF($A74="","",SUMIFS(Manager_Reports!$F:$F,Manager_Reports!$A:$A,Dashboard!$B$2,Manager_Reports!$C:$C,$B74))</x:f>
      </x:c>
      <x:c r="G74" s="5">
        <x:f>IF($A74="","",SUMIFS(Manager_Reports!$G:$G,Manager_Reports!$A:$A,Dashboard!$B$2,Manager_Reports!$C:$C,$B74))</x:f>
      </x:c>
      <x:c r="H74" s="5">
        <x:f>IF($A74="","",SUMIFS(Manager_Reports!$H:$H,Manager_Reports!$A:$A,Dashboard!$B$2,Manager_Reports!$C:$C,$B74))</x:f>
      </x:c>
      <x:c r="I74" s="5">
        <x:f>IF($A74="","",SUMIFS(Manager_Reports!$I:$I,Manager_Reports!$A:$A,Dashboard!$B$2,Manager_Reports!$C:$C,$B74))</x:f>
      </x:c>
      <x:c r="J74" s="5">
        <x:f>IF($A74="","",SUMIFS(Manager_Reports!$J:$J,Manager_Reports!$A:$A,Dashboard!$B$2,Manager_Reports!$C:$C,$B74))</x:f>
      </x:c>
      <x:c r="K74" s="5">
        <x:f>IF($A74="","",SUMIFS(Manager_Reports!$K:$K,Manager_Reports!$A:$A,Dashboard!$B$2,Manager_Reports!$C:$C,$B74))</x:f>
      </x:c>
      <x:c r="L74" s="5">
        <x:f>IF($A74="","",SUMIFS(Manager_Reports!$L:$L,Manager_Reports!$A:$A,Dashboard!$B$2,Manager_Reports!$C:$C,$B74))</x:f>
      </x:c>
      <x:c r="M74" s="5">
        <x:f>IF($A74="","",SUMIFS(Manager_Reports!$M:$M,Manager_Reports!$A:$A,Dashboard!$B$2,Manager_Reports!$C:$C,$B74))</x:f>
      </x:c>
      <x:c r="N74" s="5">
        <x:f>IF($A74="","",SUMIFS(Manager_Reports!$N:$N,Manager_Reports!$A:$A,Dashboard!$B$2,Manager_Reports!$C:$C,$B74))</x:f>
      </x:c>
      <x:c r="O74" s="5">
        <x:f>IF($A74="","",SUMIFS(Manager_Reports!$O:$O,Manager_Reports!$A:$A,Dashboard!$B$2,Manager_Reports!$C:$C,$B74))</x:f>
      </x:c>
      <x:c r="P74" s="5">
        <x:f>IF($A74="","",SUMIFS(Manager_Reports!$P:$P,Manager_Reports!$A:$A,Dashboard!$B$2,Manager_Reports!$C:$C,$B74))</x:f>
      </x:c>
      <x:c r="Q74" s="5">
        <x:f>IF($A74="","",SUMIFS(Manager_Reports!$Q:$Q,Manager_Reports!$A:$A,Dashboard!$B$2,Manager_Reports!$C:$C,$B74))</x:f>
      </x:c>
    </x:row>
    <x:row r="75">
      <x:c r="A75" s="5">
        <x:f>Settings!A75</x:f>
        <x:v>0</x:v>
      </x:c>
      <x:c r="B75" s="5">
        <x:f>Settings!B75</x:f>
        <x:v>0</x:v>
      </x:c>
      <x:c r="C75" s="5">
        <x:f>Settings!C75</x:f>
        <x:v>0</x:v>
      </x:c>
      <x:c r="D75" s="5">
        <x:f>IF($A75="","",COUNTIFS(Manager_Reports!$A:$A,Dashboard!$B$2,Manager_Reports!$C:$C,$B75))</x:f>
      </x:c>
      <x:c r="E75" s="5">
        <x:f>IF($A75="","",IFERROR(LOOKUP(2,1/((Manager_Reports!$A:$A=Dashboard!$B$2)*(Manager_Reports!$C:$C=$B75)),Manager_Reports!$T:$T),""))</x:f>
      </x:c>
      <x:c r="F75" s="5">
        <x:f>IF($A75="","",SUMIFS(Manager_Reports!$F:$F,Manager_Reports!$A:$A,Dashboard!$B$2,Manager_Reports!$C:$C,$B75))</x:f>
      </x:c>
      <x:c r="G75" s="5">
        <x:f>IF($A75="","",SUMIFS(Manager_Reports!$G:$G,Manager_Reports!$A:$A,Dashboard!$B$2,Manager_Reports!$C:$C,$B75))</x:f>
      </x:c>
      <x:c r="H75" s="5">
        <x:f>IF($A75="","",SUMIFS(Manager_Reports!$H:$H,Manager_Reports!$A:$A,Dashboard!$B$2,Manager_Reports!$C:$C,$B75))</x:f>
      </x:c>
      <x:c r="I75" s="5">
        <x:f>IF($A75="","",SUMIFS(Manager_Reports!$I:$I,Manager_Reports!$A:$A,Dashboard!$B$2,Manager_Reports!$C:$C,$B75))</x:f>
      </x:c>
      <x:c r="J75" s="5">
        <x:f>IF($A75="","",SUMIFS(Manager_Reports!$J:$J,Manager_Reports!$A:$A,Dashboard!$B$2,Manager_Reports!$C:$C,$B75))</x:f>
      </x:c>
      <x:c r="K75" s="5">
        <x:f>IF($A75="","",SUMIFS(Manager_Reports!$K:$K,Manager_Reports!$A:$A,Dashboard!$B$2,Manager_Reports!$C:$C,$B75))</x:f>
      </x:c>
      <x:c r="L75" s="5">
        <x:f>IF($A75="","",SUMIFS(Manager_Reports!$L:$L,Manager_Reports!$A:$A,Dashboard!$B$2,Manager_Reports!$C:$C,$B75))</x:f>
      </x:c>
      <x:c r="M75" s="5">
        <x:f>IF($A75="","",SUMIFS(Manager_Reports!$M:$M,Manager_Reports!$A:$A,Dashboard!$B$2,Manager_Reports!$C:$C,$B75))</x:f>
      </x:c>
      <x:c r="N75" s="5">
        <x:f>IF($A75="","",SUMIFS(Manager_Reports!$N:$N,Manager_Reports!$A:$A,Dashboard!$B$2,Manager_Reports!$C:$C,$B75))</x:f>
      </x:c>
      <x:c r="O75" s="5">
        <x:f>IF($A75="","",SUMIFS(Manager_Reports!$O:$O,Manager_Reports!$A:$A,Dashboard!$B$2,Manager_Reports!$C:$C,$B75))</x:f>
      </x:c>
      <x:c r="P75" s="5">
        <x:f>IF($A75="","",SUMIFS(Manager_Reports!$P:$P,Manager_Reports!$A:$A,Dashboard!$B$2,Manager_Reports!$C:$C,$B75))</x:f>
      </x:c>
      <x:c r="Q75" s="5">
        <x:f>IF($A75="","",SUMIFS(Manager_Reports!$Q:$Q,Manager_Reports!$A:$A,Dashboard!$B$2,Manager_Reports!$C:$C,$B75))</x:f>
      </x:c>
    </x:row>
    <x:row r="76">
      <x:c r="A76" s="5">
        <x:f>Settings!A76</x:f>
        <x:v>0</x:v>
      </x:c>
      <x:c r="B76" s="5">
        <x:f>Settings!B76</x:f>
        <x:v>0</x:v>
      </x:c>
      <x:c r="C76" s="5">
        <x:f>Settings!C76</x:f>
        <x:v>0</x:v>
      </x:c>
      <x:c r="D76" s="5">
        <x:f>IF($A76="","",COUNTIFS(Manager_Reports!$A:$A,Dashboard!$B$2,Manager_Reports!$C:$C,$B76))</x:f>
      </x:c>
      <x:c r="E76" s="5">
        <x:f>IF($A76="","",IFERROR(LOOKUP(2,1/((Manager_Reports!$A:$A=Dashboard!$B$2)*(Manager_Reports!$C:$C=$B76)),Manager_Reports!$T:$T),""))</x:f>
      </x:c>
      <x:c r="F76" s="5">
        <x:f>IF($A76="","",SUMIFS(Manager_Reports!$F:$F,Manager_Reports!$A:$A,Dashboard!$B$2,Manager_Reports!$C:$C,$B76))</x:f>
      </x:c>
      <x:c r="G76" s="5">
        <x:f>IF($A76="","",SUMIFS(Manager_Reports!$G:$G,Manager_Reports!$A:$A,Dashboard!$B$2,Manager_Reports!$C:$C,$B76))</x:f>
      </x:c>
      <x:c r="H76" s="5">
        <x:f>IF($A76="","",SUMIFS(Manager_Reports!$H:$H,Manager_Reports!$A:$A,Dashboard!$B$2,Manager_Reports!$C:$C,$B76))</x:f>
      </x:c>
      <x:c r="I76" s="5">
        <x:f>IF($A76="","",SUMIFS(Manager_Reports!$I:$I,Manager_Reports!$A:$A,Dashboard!$B$2,Manager_Reports!$C:$C,$B76))</x:f>
      </x:c>
      <x:c r="J76" s="5">
        <x:f>IF($A76="","",SUMIFS(Manager_Reports!$J:$J,Manager_Reports!$A:$A,Dashboard!$B$2,Manager_Reports!$C:$C,$B76))</x:f>
      </x:c>
      <x:c r="K76" s="5">
        <x:f>IF($A76="","",SUMIFS(Manager_Reports!$K:$K,Manager_Reports!$A:$A,Dashboard!$B$2,Manager_Reports!$C:$C,$B76))</x:f>
      </x:c>
      <x:c r="L76" s="5">
        <x:f>IF($A76="","",SUMIFS(Manager_Reports!$L:$L,Manager_Reports!$A:$A,Dashboard!$B$2,Manager_Reports!$C:$C,$B76))</x:f>
      </x:c>
      <x:c r="M76" s="5">
        <x:f>IF($A76="","",SUMIFS(Manager_Reports!$M:$M,Manager_Reports!$A:$A,Dashboard!$B$2,Manager_Reports!$C:$C,$B76))</x:f>
      </x:c>
      <x:c r="N76" s="5">
        <x:f>IF($A76="","",SUMIFS(Manager_Reports!$N:$N,Manager_Reports!$A:$A,Dashboard!$B$2,Manager_Reports!$C:$C,$B76))</x:f>
      </x:c>
      <x:c r="O76" s="5">
        <x:f>IF($A76="","",SUMIFS(Manager_Reports!$O:$O,Manager_Reports!$A:$A,Dashboard!$B$2,Manager_Reports!$C:$C,$B76))</x:f>
      </x:c>
      <x:c r="P76" s="5">
        <x:f>IF($A76="","",SUMIFS(Manager_Reports!$P:$P,Manager_Reports!$A:$A,Dashboard!$B$2,Manager_Reports!$C:$C,$B76))</x:f>
      </x:c>
      <x:c r="Q76" s="5">
        <x:f>IF($A76="","",SUMIFS(Manager_Reports!$Q:$Q,Manager_Reports!$A:$A,Dashboard!$B$2,Manager_Reports!$C:$C,$B76))</x:f>
      </x:c>
    </x:row>
    <x:row r="77">
      <x:c r="A77" s="5">
        <x:f>Settings!A77</x:f>
        <x:v>0</x:v>
      </x:c>
      <x:c r="B77" s="5">
        <x:f>Settings!B77</x:f>
        <x:v>0</x:v>
      </x:c>
      <x:c r="C77" s="5">
        <x:f>Settings!C77</x:f>
        <x:v>0</x:v>
      </x:c>
      <x:c r="D77" s="5">
        <x:f>IF($A77="","",COUNTIFS(Manager_Reports!$A:$A,Dashboard!$B$2,Manager_Reports!$C:$C,$B77))</x:f>
      </x:c>
      <x:c r="E77" s="5">
        <x:f>IF($A77="","",IFERROR(LOOKUP(2,1/((Manager_Reports!$A:$A=Dashboard!$B$2)*(Manager_Reports!$C:$C=$B77)),Manager_Reports!$T:$T),""))</x:f>
      </x:c>
      <x:c r="F77" s="5">
        <x:f>IF($A77="","",SUMIFS(Manager_Reports!$F:$F,Manager_Reports!$A:$A,Dashboard!$B$2,Manager_Reports!$C:$C,$B77))</x:f>
      </x:c>
      <x:c r="G77" s="5">
        <x:f>IF($A77="","",SUMIFS(Manager_Reports!$G:$G,Manager_Reports!$A:$A,Dashboard!$B$2,Manager_Reports!$C:$C,$B77))</x:f>
      </x:c>
      <x:c r="H77" s="5">
        <x:f>IF($A77="","",SUMIFS(Manager_Reports!$H:$H,Manager_Reports!$A:$A,Dashboard!$B$2,Manager_Reports!$C:$C,$B77))</x:f>
      </x:c>
      <x:c r="I77" s="5">
        <x:f>IF($A77="","",SUMIFS(Manager_Reports!$I:$I,Manager_Reports!$A:$A,Dashboard!$B$2,Manager_Reports!$C:$C,$B77))</x:f>
      </x:c>
      <x:c r="J77" s="5">
        <x:f>IF($A77="","",SUMIFS(Manager_Reports!$J:$J,Manager_Reports!$A:$A,Dashboard!$B$2,Manager_Reports!$C:$C,$B77))</x:f>
      </x:c>
      <x:c r="K77" s="5">
        <x:f>IF($A77="","",SUMIFS(Manager_Reports!$K:$K,Manager_Reports!$A:$A,Dashboard!$B$2,Manager_Reports!$C:$C,$B77))</x:f>
      </x:c>
      <x:c r="L77" s="5">
        <x:f>IF($A77="","",SUMIFS(Manager_Reports!$L:$L,Manager_Reports!$A:$A,Dashboard!$B$2,Manager_Reports!$C:$C,$B77))</x:f>
      </x:c>
      <x:c r="M77" s="5">
        <x:f>IF($A77="","",SUMIFS(Manager_Reports!$M:$M,Manager_Reports!$A:$A,Dashboard!$B$2,Manager_Reports!$C:$C,$B77))</x:f>
      </x:c>
      <x:c r="N77" s="5">
        <x:f>IF($A77="","",SUMIFS(Manager_Reports!$N:$N,Manager_Reports!$A:$A,Dashboard!$B$2,Manager_Reports!$C:$C,$B77))</x:f>
      </x:c>
      <x:c r="O77" s="5">
        <x:f>IF($A77="","",SUMIFS(Manager_Reports!$O:$O,Manager_Reports!$A:$A,Dashboard!$B$2,Manager_Reports!$C:$C,$B77))</x:f>
      </x:c>
      <x:c r="P77" s="5">
        <x:f>IF($A77="","",SUMIFS(Manager_Reports!$P:$P,Manager_Reports!$A:$A,Dashboard!$B$2,Manager_Reports!$C:$C,$B77))</x:f>
      </x:c>
      <x:c r="Q77" s="5">
        <x:f>IF($A77="","",SUMIFS(Manager_Reports!$Q:$Q,Manager_Reports!$A:$A,Dashboard!$B$2,Manager_Reports!$C:$C,$B77))</x:f>
      </x:c>
    </x:row>
    <x:row r="78">
      <x:c r="A78" s="5">
        <x:f>Settings!A78</x:f>
        <x:v>0</x:v>
      </x:c>
      <x:c r="B78" s="5">
        <x:f>Settings!B78</x:f>
        <x:v>0</x:v>
      </x:c>
      <x:c r="C78" s="5">
        <x:f>Settings!C78</x:f>
        <x:v>0</x:v>
      </x:c>
      <x:c r="D78" s="5">
        <x:f>IF($A78="","",COUNTIFS(Manager_Reports!$A:$A,Dashboard!$B$2,Manager_Reports!$C:$C,$B78))</x:f>
      </x:c>
      <x:c r="E78" s="5">
        <x:f>IF($A78="","",IFERROR(LOOKUP(2,1/((Manager_Reports!$A:$A=Dashboard!$B$2)*(Manager_Reports!$C:$C=$B78)),Manager_Reports!$T:$T),""))</x:f>
      </x:c>
      <x:c r="F78" s="5">
        <x:f>IF($A78="","",SUMIFS(Manager_Reports!$F:$F,Manager_Reports!$A:$A,Dashboard!$B$2,Manager_Reports!$C:$C,$B78))</x:f>
      </x:c>
      <x:c r="G78" s="5">
        <x:f>IF($A78="","",SUMIFS(Manager_Reports!$G:$G,Manager_Reports!$A:$A,Dashboard!$B$2,Manager_Reports!$C:$C,$B78))</x:f>
      </x:c>
      <x:c r="H78" s="5">
        <x:f>IF($A78="","",SUMIFS(Manager_Reports!$H:$H,Manager_Reports!$A:$A,Dashboard!$B$2,Manager_Reports!$C:$C,$B78))</x:f>
      </x:c>
      <x:c r="I78" s="5">
        <x:f>IF($A78="","",SUMIFS(Manager_Reports!$I:$I,Manager_Reports!$A:$A,Dashboard!$B$2,Manager_Reports!$C:$C,$B78))</x:f>
      </x:c>
      <x:c r="J78" s="5">
        <x:f>IF($A78="","",SUMIFS(Manager_Reports!$J:$J,Manager_Reports!$A:$A,Dashboard!$B$2,Manager_Reports!$C:$C,$B78))</x:f>
      </x:c>
      <x:c r="K78" s="5">
        <x:f>IF($A78="","",SUMIFS(Manager_Reports!$K:$K,Manager_Reports!$A:$A,Dashboard!$B$2,Manager_Reports!$C:$C,$B78))</x:f>
      </x:c>
      <x:c r="L78" s="5">
        <x:f>IF($A78="","",SUMIFS(Manager_Reports!$L:$L,Manager_Reports!$A:$A,Dashboard!$B$2,Manager_Reports!$C:$C,$B78))</x:f>
      </x:c>
      <x:c r="M78" s="5">
        <x:f>IF($A78="","",SUMIFS(Manager_Reports!$M:$M,Manager_Reports!$A:$A,Dashboard!$B$2,Manager_Reports!$C:$C,$B78))</x:f>
      </x:c>
      <x:c r="N78" s="5">
        <x:f>IF($A78="","",SUMIFS(Manager_Reports!$N:$N,Manager_Reports!$A:$A,Dashboard!$B$2,Manager_Reports!$C:$C,$B78))</x:f>
      </x:c>
      <x:c r="O78" s="5">
        <x:f>IF($A78="","",SUMIFS(Manager_Reports!$O:$O,Manager_Reports!$A:$A,Dashboard!$B$2,Manager_Reports!$C:$C,$B78))</x:f>
      </x:c>
      <x:c r="P78" s="5">
        <x:f>IF($A78="","",SUMIFS(Manager_Reports!$P:$P,Manager_Reports!$A:$A,Dashboard!$B$2,Manager_Reports!$C:$C,$B78))</x:f>
      </x:c>
      <x:c r="Q78" s="5">
        <x:f>IF($A78="","",SUMIFS(Manager_Reports!$Q:$Q,Manager_Reports!$A:$A,Dashboard!$B$2,Manager_Reports!$C:$C,$B78))</x:f>
      </x:c>
    </x:row>
    <x:row r="79">
      <x:c r="A79" s="5">
        <x:f>Settings!A79</x:f>
        <x:v>0</x:v>
      </x:c>
      <x:c r="B79" s="5">
        <x:f>Settings!B79</x:f>
        <x:v>0</x:v>
      </x:c>
      <x:c r="C79" s="5">
        <x:f>Settings!C79</x:f>
        <x:v>0</x:v>
      </x:c>
      <x:c r="D79" s="5">
        <x:f>IF($A79="","",COUNTIFS(Manager_Reports!$A:$A,Dashboard!$B$2,Manager_Reports!$C:$C,$B79))</x:f>
      </x:c>
      <x:c r="E79" s="5">
        <x:f>IF($A79="","",IFERROR(LOOKUP(2,1/((Manager_Reports!$A:$A=Dashboard!$B$2)*(Manager_Reports!$C:$C=$B79)),Manager_Reports!$T:$T),""))</x:f>
      </x:c>
      <x:c r="F79" s="5">
        <x:f>IF($A79="","",SUMIFS(Manager_Reports!$F:$F,Manager_Reports!$A:$A,Dashboard!$B$2,Manager_Reports!$C:$C,$B79))</x:f>
      </x:c>
      <x:c r="G79" s="5">
        <x:f>IF($A79="","",SUMIFS(Manager_Reports!$G:$G,Manager_Reports!$A:$A,Dashboard!$B$2,Manager_Reports!$C:$C,$B79))</x:f>
      </x:c>
      <x:c r="H79" s="5">
        <x:f>IF($A79="","",SUMIFS(Manager_Reports!$H:$H,Manager_Reports!$A:$A,Dashboard!$B$2,Manager_Reports!$C:$C,$B79))</x:f>
      </x:c>
      <x:c r="I79" s="5">
        <x:f>IF($A79="","",SUMIFS(Manager_Reports!$I:$I,Manager_Reports!$A:$A,Dashboard!$B$2,Manager_Reports!$C:$C,$B79))</x:f>
      </x:c>
      <x:c r="J79" s="5">
        <x:f>IF($A79="","",SUMIFS(Manager_Reports!$J:$J,Manager_Reports!$A:$A,Dashboard!$B$2,Manager_Reports!$C:$C,$B79))</x:f>
      </x:c>
      <x:c r="K79" s="5">
        <x:f>IF($A79="","",SUMIFS(Manager_Reports!$K:$K,Manager_Reports!$A:$A,Dashboard!$B$2,Manager_Reports!$C:$C,$B79))</x:f>
      </x:c>
      <x:c r="L79" s="5">
        <x:f>IF($A79="","",SUMIFS(Manager_Reports!$L:$L,Manager_Reports!$A:$A,Dashboard!$B$2,Manager_Reports!$C:$C,$B79))</x:f>
      </x:c>
      <x:c r="M79" s="5">
        <x:f>IF($A79="","",SUMIFS(Manager_Reports!$M:$M,Manager_Reports!$A:$A,Dashboard!$B$2,Manager_Reports!$C:$C,$B79))</x:f>
      </x:c>
      <x:c r="N79" s="5">
        <x:f>IF($A79="","",SUMIFS(Manager_Reports!$N:$N,Manager_Reports!$A:$A,Dashboard!$B$2,Manager_Reports!$C:$C,$B79))</x:f>
      </x:c>
      <x:c r="O79" s="5">
        <x:f>IF($A79="","",SUMIFS(Manager_Reports!$O:$O,Manager_Reports!$A:$A,Dashboard!$B$2,Manager_Reports!$C:$C,$B79))</x:f>
      </x:c>
      <x:c r="P79" s="5">
        <x:f>IF($A79="","",SUMIFS(Manager_Reports!$P:$P,Manager_Reports!$A:$A,Dashboard!$B$2,Manager_Reports!$C:$C,$B79))</x:f>
      </x:c>
      <x:c r="Q79" s="5">
        <x:f>IF($A79="","",SUMIFS(Manager_Reports!$Q:$Q,Manager_Reports!$A:$A,Dashboard!$B$2,Manager_Reports!$C:$C,$B79))</x:f>
      </x:c>
    </x:row>
    <x:row r="80">
      <x:c r="A80" s="5">
        <x:f>Settings!A80</x:f>
        <x:v>0</x:v>
      </x:c>
      <x:c r="B80" s="5">
        <x:f>Settings!B80</x:f>
        <x:v>0</x:v>
      </x:c>
      <x:c r="C80" s="5">
        <x:f>Settings!C80</x:f>
        <x:v>0</x:v>
      </x:c>
      <x:c r="D80" s="5">
        <x:f>IF($A80="","",COUNTIFS(Manager_Reports!$A:$A,Dashboard!$B$2,Manager_Reports!$C:$C,$B80))</x:f>
      </x:c>
      <x:c r="E80" s="5">
        <x:f>IF($A80="","",IFERROR(LOOKUP(2,1/((Manager_Reports!$A:$A=Dashboard!$B$2)*(Manager_Reports!$C:$C=$B80)),Manager_Reports!$T:$T),""))</x:f>
      </x:c>
      <x:c r="F80" s="5">
        <x:f>IF($A80="","",SUMIFS(Manager_Reports!$F:$F,Manager_Reports!$A:$A,Dashboard!$B$2,Manager_Reports!$C:$C,$B80))</x:f>
      </x:c>
      <x:c r="G80" s="5">
        <x:f>IF($A80="","",SUMIFS(Manager_Reports!$G:$G,Manager_Reports!$A:$A,Dashboard!$B$2,Manager_Reports!$C:$C,$B80))</x:f>
      </x:c>
      <x:c r="H80" s="5">
        <x:f>IF($A80="","",SUMIFS(Manager_Reports!$H:$H,Manager_Reports!$A:$A,Dashboard!$B$2,Manager_Reports!$C:$C,$B80))</x:f>
      </x:c>
      <x:c r="I80" s="5">
        <x:f>IF($A80="","",SUMIFS(Manager_Reports!$I:$I,Manager_Reports!$A:$A,Dashboard!$B$2,Manager_Reports!$C:$C,$B80))</x:f>
      </x:c>
      <x:c r="J80" s="5">
        <x:f>IF($A80="","",SUMIFS(Manager_Reports!$J:$J,Manager_Reports!$A:$A,Dashboard!$B$2,Manager_Reports!$C:$C,$B80))</x:f>
      </x:c>
      <x:c r="K80" s="5">
        <x:f>IF($A80="","",SUMIFS(Manager_Reports!$K:$K,Manager_Reports!$A:$A,Dashboard!$B$2,Manager_Reports!$C:$C,$B80))</x:f>
      </x:c>
      <x:c r="L80" s="5">
        <x:f>IF($A80="","",SUMIFS(Manager_Reports!$L:$L,Manager_Reports!$A:$A,Dashboard!$B$2,Manager_Reports!$C:$C,$B80))</x:f>
      </x:c>
      <x:c r="M80" s="5">
        <x:f>IF($A80="","",SUMIFS(Manager_Reports!$M:$M,Manager_Reports!$A:$A,Dashboard!$B$2,Manager_Reports!$C:$C,$B80))</x:f>
      </x:c>
      <x:c r="N80" s="5">
        <x:f>IF($A80="","",SUMIFS(Manager_Reports!$N:$N,Manager_Reports!$A:$A,Dashboard!$B$2,Manager_Reports!$C:$C,$B80))</x:f>
      </x:c>
      <x:c r="O80" s="5">
        <x:f>IF($A80="","",SUMIFS(Manager_Reports!$O:$O,Manager_Reports!$A:$A,Dashboard!$B$2,Manager_Reports!$C:$C,$B80))</x:f>
      </x:c>
      <x:c r="P80" s="5">
        <x:f>IF($A80="","",SUMIFS(Manager_Reports!$P:$P,Manager_Reports!$A:$A,Dashboard!$B$2,Manager_Reports!$C:$C,$B80))</x:f>
      </x:c>
      <x:c r="Q80" s="5">
        <x:f>IF($A80="","",SUMIFS(Manager_Reports!$Q:$Q,Manager_Reports!$A:$A,Dashboard!$B$2,Manager_Reports!$C:$C,$B80))</x:f>
      </x:c>
    </x:row>
    <x:row r="81">
      <x:c r="A81" s="5">
        <x:f>Settings!A81</x:f>
        <x:v>0</x:v>
      </x:c>
      <x:c r="B81" s="5">
        <x:f>Settings!B81</x:f>
        <x:v>0</x:v>
      </x:c>
      <x:c r="C81" s="5">
        <x:f>Settings!C81</x:f>
        <x:v>0</x:v>
      </x:c>
      <x:c r="D81" s="5">
        <x:f>IF($A81="","",COUNTIFS(Manager_Reports!$A:$A,Dashboard!$B$2,Manager_Reports!$C:$C,$B81))</x:f>
      </x:c>
      <x:c r="E81" s="5">
        <x:f>IF($A81="","",IFERROR(LOOKUP(2,1/((Manager_Reports!$A:$A=Dashboard!$B$2)*(Manager_Reports!$C:$C=$B81)),Manager_Reports!$T:$T),""))</x:f>
      </x:c>
      <x:c r="F81" s="5">
        <x:f>IF($A81="","",SUMIFS(Manager_Reports!$F:$F,Manager_Reports!$A:$A,Dashboard!$B$2,Manager_Reports!$C:$C,$B81))</x:f>
      </x:c>
      <x:c r="G81" s="5">
        <x:f>IF($A81="","",SUMIFS(Manager_Reports!$G:$G,Manager_Reports!$A:$A,Dashboard!$B$2,Manager_Reports!$C:$C,$B81))</x:f>
      </x:c>
      <x:c r="H81" s="5">
        <x:f>IF($A81="","",SUMIFS(Manager_Reports!$H:$H,Manager_Reports!$A:$A,Dashboard!$B$2,Manager_Reports!$C:$C,$B81))</x:f>
      </x:c>
      <x:c r="I81" s="5">
        <x:f>IF($A81="","",SUMIFS(Manager_Reports!$I:$I,Manager_Reports!$A:$A,Dashboard!$B$2,Manager_Reports!$C:$C,$B81))</x:f>
      </x:c>
      <x:c r="J81" s="5">
        <x:f>IF($A81="","",SUMIFS(Manager_Reports!$J:$J,Manager_Reports!$A:$A,Dashboard!$B$2,Manager_Reports!$C:$C,$B81))</x:f>
      </x:c>
      <x:c r="K81" s="5">
        <x:f>IF($A81="","",SUMIFS(Manager_Reports!$K:$K,Manager_Reports!$A:$A,Dashboard!$B$2,Manager_Reports!$C:$C,$B81))</x:f>
      </x:c>
      <x:c r="L81" s="5">
        <x:f>IF($A81="","",SUMIFS(Manager_Reports!$L:$L,Manager_Reports!$A:$A,Dashboard!$B$2,Manager_Reports!$C:$C,$B81))</x:f>
      </x:c>
      <x:c r="M81" s="5">
        <x:f>IF($A81="","",SUMIFS(Manager_Reports!$M:$M,Manager_Reports!$A:$A,Dashboard!$B$2,Manager_Reports!$C:$C,$B81))</x:f>
      </x:c>
      <x:c r="N81" s="5">
        <x:f>IF($A81="","",SUMIFS(Manager_Reports!$N:$N,Manager_Reports!$A:$A,Dashboard!$B$2,Manager_Reports!$C:$C,$B81))</x:f>
      </x:c>
      <x:c r="O81" s="5">
        <x:f>IF($A81="","",SUMIFS(Manager_Reports!$O:$O,Manager_Reports!$A:$A,Dashboard!$B$2,Manager_Reports!$C:$C,$B81))</x:f>
      </x:c>
      <x:c r="P81" s="5">
        <x:f>IF($A81="","",SUMIFS(Manager_Reports!$P:$P,Manager_Reports!$A:$A,Dashboard!$B$2,Manager_Reports!$C:$C,$B81))</x:f>
      </x:c>
      <x:c r="Q81" s="5">
        <x:f>IF($A81="","",SUMIFS(Manager_Reports!$Q:$Q,Manager_Reports!$A:$A,Dashboard!$B$2,Manager_Reports!$C:$C,$B81))</x:f>
      </x:c>
    </x:row>
    <x:row r="82">
      <x:c r="A82" s="5">
        <x:f>Settings!A82</x:f>
        <x:v>0</x:v>
      </x:c>
      <x:c r="B82" s="5">
        <x:f>Settings!B82</x:f>
        <x:v>0</x:v>
      </x:c>
      <x:c r="C82" s="5">
        <x:f>Settings!C82</x:f>
        <x:v>0</x:v>
      </x:c>
      <x:c r="D82" s="5">
        <x:f>IF($A82="","",COUNTIFS(Manager_Reports!$A:$A,Dashboard!$B$2,Manager_Reports!$C:$C,$B82))</x:f>
      </x:c>
      <x:c r="E82" s="5">
        <x:f>IF($A82="","",IFERROR(LOOKUP(2,1/((Manager_Reports!$A:$A=Dashboard!$B$2)*(Manager_Reports!$C:$C=$B82)),Manager_Reports!$T:$T),""))</x:f>
      </x:c>
      <x:c r="F82" s="5">
        <x:f>IF($A82="","",SUMIFS(Manager_Reports!$F:$F,Manager_Reports!$A:$A,Dashboard!$B$2,Manager_Reports!$C:$C,$B82))</x:f>
      </x:c>
      <x:c r="G82" s="5">
        <x:f>IF($A82="","",SUMIFS(Manager_Reports!$G:$G,Manager_Reports!$A:$A,Dashboard!$B$2,Manager_Reports!$C:$C,$B82))</x:f>
      </x:c>
      <x:c r="H82" s="5">
        <x:f>IF($A82="","",SUMIFS(Manager_Reports!$H:$H,Manager_Reports!$A:$A,Dashboard!$B$2,Manager_Reports!$C:$C,$B82))</x:f>
      </x:c>
      <x:c r="I82" s="5">
        <x:f>IF($A82="","",SUMIFS(Manager_Reports!$I:$I,Manager_Reports!$A:$A,Dashboard!$B$2,Manager_Reports!$C:$C,$B82))</x:f>
      </x:c>
      <x:c r="J82" s="5">
        <x:f>IF($A82="","",SUMIFS(Manager_Reports!$J:$J,Manager_Reports!$A:$A,Dashboard!$B$2,Manager_Reports!$C:$C,$B82))</x:f>
      </x:c>
      <x:c r="K82" s="5">
        <x:f>IF($A82="","",SUMIFS(Manager_Reports!$K:$K,Manager_Reports!$A:$A,Dashboard!$B$2,Manager_Reports!$C:$C,$B82))</x:f>
      </x:c>
      <x:c r="L82" s="5">
        <x:f>IF($A82="","",SUMIFS(Manager_Reports!$L:$L,Manager_Reports!$A:$A,Dashboard!$B$2,Manager_Reports!$C:$C,$B82))</x:f>
      </x:c>
      <x:c r="M82" s="5">
        <x:f>IF($A82="","",SUMIFS(Manager_Reports!$M:$M,Manager_Reports!$A:$A,Dashboard!$B$2,Manager_Reports!$C:$C,$B82))</x:f>
      </x:c>
      <x:c r="N82" s="5">
        <x:f>IF($A82="","",SUMIFS(Manager_Reports!$N:$N,Manager_Reports!$A:$A,Dashboard!$B$2,Manager_Reports!$C:$C,$B82))</x:f>
      </x:c>
      <x:c r="O82" s="5">
        <x:f>IF($A82="","",SUMIFS(Manager_Reports!$O:$O,Manager_Reports!$A:$A,Dashboard!$B$2,Manager_Reports!$C:$C,$B82))</x:f>
      </x:c>
      <x:c r="P82" s="5">
        <x:f>IF($A82="","",SUMIFS(Manager_Reports!$P:$P,Manager_Reports!$A:$A,Dashboard!$B$2,Manager_Reports!$C:$C,$B82))</x:f>
      </x:c>
      <x:c r="Q82" s="5">
        <x:f>IF($A82="","",SUMIFS(Manager_Reports!$Q:$Q,Manager_Reports!$A:$A,Dashboard!$B$2,Manager_Reports!$C:$C,$B82))</x:f>
      </x:c>
    </x:row>
    <x:row r="83">
      <x:c r="A83" s="5">
        <x:f>Settings!A83</x:f>
        <x:v>0</x:v>
      </x:c>
      <x:c r="B83" s="5">
        <x:f>Settings!B83</x:f>
        <x:v>0</x:v>
      </x:c>
      <x:c r="C83" s="5">
        <x:f>Settings!C83</x:f>
        <x:v>0</x:v>
      </x:c>
      <x:c r="D83" s="5">
        <x:f>IF($A83="","",COUNTIFS(Manager_Reports!$A:$A,Dashboard!$B$2,Manager_Reports!$C:$C,$B83))</x:f>
      </x:c>
      <x:c r="E83" s="5">
        <x:f>IF($A83="","",IFERROR(LOOKUP(2,1/((Manager_Reports!$A:$A=Dashboard!$B$2)*(Manager_Reports!$C:$C=$B83)),Manager_Reports!$T:$T),""))</x:f>
      </x:c>
      <x:c r="F83" s="5">
        <x:f>IF($A83="","",SUMIFS(Manager_Reports!$F:$F,Manager_Reports!$A:$A,Dashboard!$B$2,Manager_Reports!$C:$C,$B83))</x:f>
      </x:c>
      <x:c r="G83" s="5">
        <x:f>IF($A83="","",SUMIFS(Manager_Reports!$G:$G,Manager_Reports!$A:$A,Dashboard!$B$2,Manager_Reports!$C:$C,$B83))</x:f>
      </x:c>
      <x:c r="H83" s="5">
        <x:f>IF($A83="","",SUMIFS(Manager_Reports!$H:$H,Manager_Reports!$A:$A,Dashboard!$B$2,Manager_Reports!$C:$C,$B83))</x:f>
      </x:c>
      <x:c r="I83" s="5">
        <x:f>IF($A83="","",SUMIFS(Manager_Reports!$I:$I,Manager_Reports!$A:$A,Dashboard!$B$2,Manager_Reports!$C:$C,$B83))</x:f>
      </x:c>
      <x:c r="J83" s="5">
        <x:f>IF($A83="","",SUMIFS(Manager_Reports!$J:$J,Manager_Reports!$A:$A,Dashboard!$B$2,Manager_Reports!$C:$C,$B83))</x:f>
      </x:c>
      <x:c r="K83" s="5">
        <x:f>IF($A83="","",SUMIFS(Manager_Reports!$K:$K,Manager_Reports!$A:$A,Dashboard!$B$2,Manager_Reports!$C:$C,$B83))</x:f>
      </x:c>
      <x:c r="L83" s="5">
        <x:f>IF($A83="","",SUMIFS(Manager_Reports!$L:$L,Manager_Reports!$A:$A,Dashboard!$B$2,Manager_Reports!$C:$C,$B83))</x:f>
      </x:c>
      <x:c r="M83" s="5">
        <x:f>IF($A83="","",SUMIFS(Manager_Reports!$M:$M,Manager_Reports!$A:$A,Dashboard!$B$2,Manager_Reports!$C:$C,$B83))</x:f>
      </x:c>
      <x:c r="N83" s="5">
        <x:f>IF($A83="","",SUMIFS(Manager_Reports!$N:$N,Manager_Reports!$A:$A,Dashboard!$B$2,Manager_Reports!$C:$C,$B83))</x:f>
      </x:c>
      <x:c r="O83" s="5">
        <x:f>IF($A83="","",SUMIFS(Manager_Reports!$O:$O,Manager_Reports!$A:$A,Dashboard!$B$2,Manager_Reports!$C:$C,$B83))</x:f>
      </x:c>
      <x:c r="P83" s="5">
        <x:f>IF($A83="","",SUMIFS(Manager_Reports!$P:$P,Manager_Reports!$A:$A,Dashboard!$B$2,Manager_Reports!$C:$C,$B83))</x:f>
      </x:c>
      <x:c r="Q83" s="5">
        <x:f>IF($A83="","",SUMIFS(Manager_Reports!$Q:$Q,Manager_Reports!$A:$A,Dashboard!$B$2,Manager_Reports!$C:$C,$B83))</x:f>
      </x:c>
    </x:row>
    <x:row r="84">
      <x:c r="A84" s="5">
        <x:f>Settings!A84</x:f>
        <x:v>0</x:v>
      </x:c>
      <x:c r="B84" s="5">
        <x:f>Settings!B84</x:f>
        <x:v>0</x:v>
      </x:c>
      <x:c r="C84" s="5">
        <x:f>Settings!C84</x:f>
        <x:v>0</x:v>
      </x:c>
      <x:c r="D84" s="5">
        <x:f>IF($A84="","",COUNTIFS(Manager_Reports!$A:$A,Dashboard!$B$2,Manager_Reports!$C:$C,$B84))</x:f>
      </x:c>
      <x:c r="E84" s="5">
        <x:f>IF($A84="","",IFERROR(LOOKUP(2,1/((Manager_Reports!$A:$A=Dashboard!$B$2)*(Manager_Reports!$C:$C=$B84)),Manager_Reports!$T:$T),""))</x:f>
      </x:c>
      <x:c r="F84" s="5">
        <x:f>IF($A84="","",SUMIFS(Manager_Reports!$F:$F,Manager_Reports!$A:$A,Dashboard!$B$2,Manager_Reports!$C:$C,$B84))</x:f>
      </x:c>
      <x:c r="G84" s="5">
        <x:f>IF($A84="","",SUMIFS(Manager_Reports!$G:$G,Manager_Reports!$A:$A,Dashboard!$B$2,Manager_Reports!$C:$C,$B84))</x:f>
      </x:c>
      <x:c r="H84" s="5">
        <x:f>IF($A84="","",SUMIFS(Manager_Reports!$H:$H,Manager_Reports!$A:$A,Dashboard!$B$2,Manager_Reports!$C:$C,$B84))</x:f>
      </x:c>
      <x:c r="I84" s="5">
        <x:f>IF($A84="","",SUMIFS(Manager_Reports!$I:$I,Manager_Reports!$A:$A,Dashboard!$B$2,Manager_Reports!$C:$C,$B84))</x:f>
      </x:c>
      <x:c r="J84" s="5">
        <x:f>IF($A84="","",SUMIFS(Manager_Reports!$J:$J,Manager_Reports!$A:$A,Dashboard!$B$2,Manager_Reports!$C:$C,$B84))</x:f>
      </x:c>
      <x:c r="K84" s="5">
        <x:f>IF($A84="","",SUMIFS(Manager_Reports!$K:$K,Manager_Reports!$A:$A,Dashboard!$B$2,Manager_Reports!$C:$C,$B84))</x:f>
      </x:c>
      <x:c r="L84" s="5">
        <x:f>IF($A84="","",SUMIFS(Manager_Reports!$L:$L,Manager_Reports!$A:$A,Dashboard!$B$2,Manager_Reports!$C:$C,$B84))</x:f>
      </x:c>
      <x:c r="M84" s="5">
        <x:f>IF($A84="","",SUMIFS(Manager_Reports!$M:$M,Manager_Reports!$A:$A,Dashboard!$B$2,Manager_Reports!$C:$C,$B84))</x:f>
      </x:c>
      <x:c r="N84" s="5">
        <x:f>IF($A84="","",SUMIFS(Manager_Reports!$N:$N,Manager_Reports!$A:$A,Dashboard!$B$2,Manager_Reports!$C:$C,$B84))</x:f>
      </x:c>
      <x:c r="O84" s="5">
        <x:f>IF($A84="","",SUMIFS(Manager_Reports!$O:$O,Manager_Reports!$A:$A,Dashboard!$B$2,Manager_Reports!$C:$C,$B84))</x:f>
      </x:c>
      <x:c r="P84" s="5">
        <x:f>IF($A84="","",SUMIFS(Manager_Reports!$P:$P,Manager_Reports!$A:$A,Dashboard!$B$2,Manager_Reports!$C:$C,$B84))</x:f>
      </x:c>
      <x:c r="Q84" s="5">
        <x:f>IF($A84="","",SUMIFS(Manager_Reports!$Q:$Q,Manager_Reports!$A:$A,Dashboard!$B$2,Manager_Reports!$C:$C,$B84))</x:f>
      </x:c>
    </x:row>
    <x:row r="85">
      <x:c r="A85" s="5">
        <x:f>Settings!A85</x:f>
        <x:v>0</x:v>
      </x:c>
      <x:c r="B85" s="5">
        <x:f>Settings!B85</x:f>
        <x:v>0</x:v>
      </x:c>
      <x:c r="C85" s="5">
        <x:f>Settings!C85</x:f>
        <x:v>0</x:v>
      </x:c>
      <x:c r="D85" s="5">
        <x:f>IF($A85="","",COUNTIFS(Manager_Reports!$A:$A,Dashboard!$B$2,Manager_Reports!$C:$C,$B85))</x:f>
      </x:c>
      <x:c r="E85" s="5">
        <x:f>IF($A85="","",IFERROR(LOOKUP(2,1/((Manager_Reports!$A:$A=Dashboard!$B$2)*(Manager_Reports!$C:$C=$B85)),Manager_Reports!$T:$T),""))</x:f>
      </x:c>
      <x:c r="F85" s="5">
        <x:f>IF($A85="","",SUMIFS(Manager_Reports!$F:$F,Manager_Reports!$A:$A,Dashboard!$B$2,Manager_Reports!$C:$C,$B85))</x:f>
      </x:c>
      <x:c r="G85" s="5">
        <x:f>IF($A85="","",SUMIFS(Manager_Reports!$G:$G,Manager_Reports!$A:$A,Dashboard!$B$2,Manager_Reports!$C:$C,$B85))</x:f>
      </x:c>
      <x:c r="H85" s="5">
        <x:f>IF($A85="","",SUMIFS(Manager_Reports!$H:$H,Manager_Reports!$A:$A,Dashboard!$B$2,Manager_Reports!$C:$C,$B85))</x:f>
      </x:c>
      <x:c r="I85" s="5">
        <x:f>IF($A85="","",SUMIFS(Manager_Reports!$I:$I,Manager_Reports!$A:$A,Dashboard!$B$2,Manager_Reports!$C:$C,$B85))</x:f>
      </x:c>
      <x:c r="J85" s="5">
        <x:f>IF($A85="","",SUMIFS(Manager_Reports!$J:$J,Manager_Reports!$A:$A,Dashboard!$B$2,Manager_Reports!$C:$C,$B85))</x:f>
      </x:c>
      <x:c r="K85" s="5">
        <x:f>IF($A85="","",SUMIFS(Manager_Reports!$K:$K,Manager_Reports!$A:$A,Dashboard!$B$2,Manager_Reports!$C:$C,$B85))</x:f>
      </x:c>
      <x:c r="L85" s="5">
        <x:f>IF($A85="","",SUMIFS(Manager_Reports!$L:$L,Manager_Reports!$A:$A,Dashboard!$B$2,Manager_Reports!$C:$C,$B85))</x:f>
      </x:c>
      <x:c r="M85" s="5">
        <x:f>IF($A85="","",SUMIFS(Manager_Reports!$M:$M,Manager_Reports!$A:$A,Dashboard!$B$2,Manager_Reports!$C:$C,$B85))</x:f>
      </x:c>
      <x:c r="N85" s="5">
        <x:f>IF($A85="","",SUMIFS(Manager_Reports!$N:$N,Manager_Reports!$A:$A,Dashboard!$B$2,Manager_Reports!$C:$C,$B85))</x:f>
      </x:c>
      <x:c r="O85" s="5">
        <x:f>IF($A85="","",SUMIFS(Manager_Reports!$O:$O,Manager_Reports!$A:$A,Dashboard!$B$2,Manager_Reports!$C:$C,$B85))</x:f>
      </x:c>
      <x:c r="P85" s="5">
        <x:f>IF($A85="","",SUMIFS(Manager_Reports!$P:$P,Manager_Reports!$A:$A,Dashboard!$B$2,Manager_Reports!$C:$C,$B85))</x:f>
      </x:c>
      <x:c r="Q85" s="5">
        <x:f>IF($A85="","",SUMIFS(Manager_Reports!$Q:$Q,Manager_Reports!$A:$A,Dashboard!$B$2,Manager_Reports!$C:$C,$B85))</x:f>
      </x:c>
    </x:row>
    <x:row r="86">
      <x:c r="A86" s="5">
        <x:f>Settings!A86</x:f>
        <x:v>0</x:v>
      </x:c>
      <x:c r="B86" s="5">
        <x:f>Settings!B86</x:f>
        <x:v>0</x:v>
      </x:c>
      <x:c r="C86" s="5">
        <x:f>Settings!C86</x:f>
        <x:v>0</x:v>
      </x:c>
      <x:c r="D86" s="5">
        <x:f>IF($A86="","",COUNTIFS(Manager_Reports!$A:$A,Dashboard!$B$2,Manager_Reports!$C:$C,$B86))</x:f>
      </x:c>
      <x:c r="E86" s="5">
        <x:f>IF($A86="","",IFERROR(LOOKUP(2,1/((Manager_Reports!$A:$A=Dashboard!$B$2)*(Manager_Reports!$C:$C=$B86)),Manager_Reports!$T:$T),""))</x:f>
      </x:c>
      <x:c r="F86" s="5">
        <x:f>IF($A86="","",SUMIFS(Manager_Reports!$F:$F,Manager_Reports!$A:$A,Dashboard!$B$2,Manager_Reports!$C:$C,$B86))</x:f>
      </x:c>
      <x:c r="G86" s="5">
        <x:f>IF($A86="","",SUMIFS(Manager_Reports!$G:$G,Manager_Reports!$A:$A,Dashboard!$B$2,Manager_Reports!$C:$C,$B86))</x:f>
      </x:c>
      <x:c r="H86" s="5">
        <x:f>IF($A86="","",SUMIFS(Manager_Reports!$H:$H,Manager_Reports!$A:$A,Dashboard!$B$2,Manager_Reports!$C:$C,$B86))</x:f>
      </x:c>
      <x:c r="I86" s="5">
        <x:f>IF($A86="","",SUMIFS(Manager_Reports!$I:$I,Manager_Reports!$A:$A,Dashboard!$B$2,Manager_Reports!$C:$C,$B86))</x:f>
      </x:c>
      <x:c r="J86" s="5">
        <x:f>IF($A86="","",SUMIFS(Manager_Reports!$J:$J,Manager_Reports!$A:$A,Dashboard!$B$2,Manager_Reports!$C:$C,$B86))</x:f>
      </x:c>
      <x:c r="K86" s="5">
        <x:f>IF($A86="","",SUMIFS(Manager_Reports!$K:$K,Manager_Reports!$A:$A,Dashboard!$B$2,Manager_Reports!$C:$C,$B86))</x:f>
      </x:c>
      <x:c r="L86" s="5">
        <x:f>IF($A86="","",SUMIFS(Manager_Reports!$L:$L,Manager_Reports!$A:$A,Dashboard!$B$2,Manager_Reports!$C:$C,$B86))</x:f>
      </x:c>
      <x:c r="M86" s="5">
        <x:f>IF($A86="","",SUMIFS(Manager_Reports!$M:$M,Manager_Reports!$A:$A,Dashboard!$B$2,Manager_Reports!$C:$C,$B86))</x:f>
      </x:c>
      <x:c r="N86" s="5">
        <x:f>IF($A86="","",SUMIFS(Manager_Reports!$N:$N,Manager_Reports!$A:$A,Dashboard!$B$2,Manager_Reports!$C:$C,$B86))</x:f>
      </x:c>
      <x:c r="O86" s="5">
        <x:f>IF($A86="","",SUMIFS(Manager_Reports!$O:$O,Manager_Reports!$A:$A,Dashboard!$B$2,Manager_Reports!$C:$C,$B86))</x:f>
      </x:c>
      <x:c r="P86" s="5">
        <x:f>IF($A86="","",SUMIFS(Manager_Reports!$P:$P,Manager_Reports!$A:$A,Dashboard!$B$2,Manager_Reports!$C:$C,$B86))</x:f>
      </x:c>
      <x:c r="Q86" s="5">
        <x:f>IF($A86="","",SUMIFS(Manager_Reports!$Q:$Q,Manager_Reports!$A:$A,Dashboard!$B$2,Manager_Reports!$C:$C,$B86))</x:f>
      </x:c>
    </x:row>
    <x:row r="87">
      <x:c r="A87" s="5">
        <x:f>Settings!A87</x:f>
        <x:v>0</x:v>
      </x:c>
      <x:c r="B87" s="5">
        <x:f>Settings!B87</x:f>
        <x:v>0</x:v>
      </x:c>
      <x:c r="C87" s="5">
        <x:f>Settings!C87</x:f>
        <x:v>0</x:v>
      </x:c>
      <x:c r="D87" s="5">
        <x:f>IF($A87="","",COUNTIFS(Manager_Reports!$A:$A,Dashboard!$B$2,Manager_Reports!$C:$C,$B87))</x:f>
      </x:c>
      <x:c r="E87" s="5">
        <x:f>IF($A87="","",IFERROR(LOOKUP(2,1/((Manager_Reports!$A:$A=Dashboard!$B$2)*(Manager_Reports!$C:$C=$B87)),Manager_Reports!$T:$T),""))</x:f>
      </x:c>
      <x:c r="F87" s="5">
        <x:f>IF($A87="","",SUMIFS(Manager_Reports!$F:$F,Manager_Reports!$A:$A,Dashboard!$B$2,Manager_Reports!$C:$C,$B87))</x:f>
      </x:c>
      <x:c r="G87" s="5">
        <x:f>IF($A87="","",SUMIFS(Manager_Reports!$G:$G,Manager_Reports!$A:$A,Dashboard!$B$2,Manager_Reports!$C:$C,$B87))</x:f>
      </x:c>
      <x:c r="H87" s="5">
        <x:f>IF($A87="","",SUMIFS(Manager_Reports!$H:$H,Manager_Reports!$A:$A,Dashboard!$B$2,Manager_Reports!$C:$C,$B87))</x:f>
      </x:c>
      <x:c r="I87" s="5">
        <x:f>IF($A87="","",SUMIFS(Manager_Reports!$I:$I,Manager_Reports!$A:$A,Dashboard!$B$2,Manager_Reports!$C:$C,$B87))</x:f>
      </x:c>
      <x:c r="J87" s="5">
        <x:f>IF($A87="","",SUMIFS(Manager_Reports!$J:$J,Manager_Reports!$A:$A,Dashboard!$B$2,Manager_Reports!$C:$C,$B87))</x:f>
      </x:c>
      <x:c r="K87" s="5">
        <x:f>IF($A87="","",SUMIFS(Manager_Reports!$K:$K,Manager_Reports!$A:$A,Dashboard!$B$2,Manager_Reports!$C:$C,$B87))</x:f>
      </x:c>
      <x:c r="L87" s="5">
        <x:f>IF($A87="","",SUMIFS(Manager_Reports!$L:$L,Manager_Reports!$A:$A,Dashboard!$B$2,Manager_Reports!$C:$C,$B87))</x:f>
      </x:c>
      <x:c r="M87" s="5">
        <x:f>IF($A87="","",SUMIFS(Manager_Reports!$M:$M,Manager_Reports!$A:$A,Dashboard!$B$2,Manager_Reports!$C:$C,$B87))</x:f>
      </x:c>
      <x:c r="N87" s="5">
        <x:f>IF($A87="","",SUMIFS(Manager_Reports!$N:$N,Manager_Reports!$A:$A,Dashboard!$B$2,Manager_Reports!$C:$C,$B87))</x:f>
      </x:c>
      <x:c r="O87" s="5">
        <x:f>IF($A87="","",SUMIFS(Manager_Reports!$O:$O,Manager_Reports!$A:$A,Dashboard!$B$2,Manager_Reports!$C:$C,$B87))</x:f>
      </x:c>
      <x:c r="P87" s="5">
        <x:f>IF($A87="","",SUMIFS(Manager_Reports!$P:$P,Manager_Reports!$A:$A,Dashboard!$B$2,Manager_Reports!$C:$C,$B87))</x:f>
      </x:c>
      <x:c r="Q87" s="5">
        <x:f>IF($A87="","",SUMIFS(Manager_Reports!$Q:$Q,Manager_Reports!$A:$A,Dashboard!$B$2,Manager_Reports!$C:$C,$B87))</x:f>
      </x:c>
    </x:row>
    <x:row r="88">
      <x:c r="A88" s="5">
        <x:f>Settings!A88</x:f>
        <x:v>0</x:v>
      </x:c>
      <x:c r="B88" s="5">
        <x:f>Settings!B88</x:f>
        <x:v>0</x:v>
      </x:c>
      <x:c r="C88" s="5">
        <x:f>Settings!C88</x:f>
        <x:v>0</x:v>
      </x:c>
      <x:c r="D88" s="5">
        <x:f>IF($A88="","",COUNTIFS(Manager_Reports!$A:$A,Dashboard!$B$2,Manager_Reports!$C:$C,$B88))</x:f>
      </x:c>
      <x:c r="E88" s="5">
        <x:f>IF($A88="","",IFERROR(LOOKUP(2,1/((Manager_Reports!$A:$A=Dashboard!$B$2)*(Manager_Reports!$C:$C=$B88)),Manager_Reports!$T:$T),""))</x:f>
      </x:c>
      <x:c r="F88" s="5">
        <x:f>IF($A88="","",SUMIFS(Manager_Reports!$F:$F,Manager_Reports!$A:$A,Dashboard!$B$2,Manager_Reports!$C:$C,$B88))</x:f>
      </x:c>
      <x:c r="G88" s="5">
        <x:f>IF($A88="","",SUMIFS(Manager_Reports!$G:$G,Manager_Reports!$A:$A,Dashboard!$B$2,Manager_Reports!$C:$C,$B88))</x:f>
      </x:c>
      <x:c r="H88" s="5">
        <x:f>IF($A88="","",SUMIFS(Manager_Reports!$H:$H,Manager_Reports!$A:$A,Dashboard!$B$2,Manager_Reports!$C:$C,$B88))</x:f>
      </x:c>
      <x:c r="I88" s="5">
        <x:f>IF($A88="","",SUMIFS(Manager_Reports!$I:$I,Manager_Reports!$A:$A,Dashboard!$B$2,Manager_Reports!$C:$C,$B88))</x:f>
      </x:c>
      <x:c r="J88" s="5">
        <x:f>IF($A88="","",SUMIFS(Manager_Reports!$J:$J,Manager_Reports!$A:$A,Dashboard!$B$2,Manager_Reports!$C:$C,$B88))</x:f>
      </x:c>
      <x:c r="K88" s="5">
        <x:f>IF($A88="","",SUMIFS(Manager_Reports!$K:$K,Manager_Reports!$A:$A,Dashboard!$B$2,Manager_Reports!$C:$C,$B88))</x:f>
      </x:c>
      <x:c r="L88" s="5">
        <x:f>IF($A88="","",SUMIFS(Manager_Reports!$L:$L,Manager_Reports!$A:$A,Dashboard!$B$2,Manager_Reports!$C:$C,$B88))</x:f>
      </x:c>
      <x:c r="M88" s="5">
        <x:f>IF($A88="","",SUMIFS(Manager_Reports!$M:$M,Manager_Reports!$A:$A,Dashboard!$B$2,Manager_Reports!$C:$C,$B88))</x:f>
      </x:c>
      <x:c r="N88" s="5">
        <x:f>IF($A88="","",SUMIFS(Manager_Reports!$N:$N,Manager_Reports!$A:$A,Dashboard!$B$2,Manager_Reports!$C:$C,$B88))</x:f>
      </x:c>
      <x:c r="O88" s="5">
        <x:f>IF($A88="","",SUMIFS(Manager_Reports!$O:$O,Manager_Reports!$A:$A,Dashboard!$B$2,Manager_Reports!$C:$C,$B88))</x:f>
      </x:c>
      <x:c r="P88" s="5">
        <x:f>IF($A88="","",SUMIFS(Manager_Reports!$P:$P,Manager_Reports!$A:$A,Dashboard!$B$2,Manager_Reports!$C:$C,$B88))</x:f>
      </x:c>
      <x:c r="Q88" s="5">
        <x:f>IF($A88="","",SUMIFS(Manager_Reports!$Q:$Q,Manager_Reports!$A:$A,Dashboard!$B$2,Manager_Reports!$C:$C,$B88))</x:f>
      </x:c>
    </x:row>
    <x:row r="89">
      <x:c r="A89" s="5">
        <x:f>Settings!A89</x:f>
        <x:v>0</x:v>
      </x:c>
      <x:c r="B89" s="5">
        <x:f>Settings!B89</x:f>
        <x:v>0</x:v>
      </x:c>
      <x:c r="C89" s="5">
        <x:f>Settings!C89</x:f>
        <x:v>0</x:v>
      </x:c>
      <x:c r="D89" s="5">
        <x:f>IF($A89="","",COUNTIFS(Manager_Reports!$A:$A,Dashboard!$B$2,Manager_Reports!$C:$C,$B89))</x:f>
      </x:c>
      <x:c r="E89" s="5">
        <x:f>IF($A89="","",IFERROR(LOOKUP(2,1/((Manager_Reports!$A:$A=Dashboard!$B$2)*(Manager_Reports!$C:$C=$B89)),Manager_Reports!$T:$T),""))</x:f>
      </x:c>
      <x:c r="F89" s="5">
        <x:f>IF($A89="","",SUMIFS(Manager_Reports!$F:$F,Manager_Reports!$A:$A,Dashboard!$B$2,Manager_Reports!$C:$C,$B89))</x:f>
      </x:c>
      <x:c r="G89" s="5">
        <x:f>IF($A89="","",SUMIFS(Manager_Reports!$G:$G,Manager_Reports!$A:$A,Dashboard!$B$2,Manager_Reports!$C:$C,$B89))</x:f>
      </x:c>
      <x:c r="H89" s="5">
        <x:f>IF($A89="","",SUMIFS(Manager_Reports!$H:$H,Manager_Reports!$A:$A,Dashboard!$B$2,Manager_Reports!$C:$C,$B89))</x:f>
      </x:c>
      <x:c r="I89" s="5">
        <x:f>IF($A89="","",SUMIFS(Manager_Reports!$I:$I,Manager_Reports!$A:$A,Dashboard!$B$2,Manager_Reports!$C:$C,$B89))</x:f>
      </x:c>
      <x:c r="J89" s="5">
        <x:f>IF($A89="","",SUMIFS(Manager_Reports!$J:$J,Manager_Reports!$A:$A,Dashboard!$B$2,Manager_Reports!$C:$C,$B89))</x:f>
      </x:c>
      <x:c r="K89" s="5">
        <x:f>IF($A89="","",SUMIFS(Manager_Reports!$K:$K,Manager_Reports!$A:$A,Dashboard!$B$2,Manager_Reports!$C:$C,$B89))</x:f>
      </x:c>
      <x:c r="L89" s="5">
        <x:f>IF($A89="","",SUMIFS(Manager_Reports!$L:$L,Manager_Reports!$A:$A,Dashboard!$B$2,Manager_Reports!$C:$C,$B89))</x:f>
      </x:c>
      <x:c r="M89" s="5">
        <x:f>IF($A89="","",SUMIFS(Manager_Reports!$M:$M,Manager_Reports!$A:$A,Dashboard!$B$2,Manager_Reports!$C:$C,$B89))</x:f>
      </x:c>
      <x:c r="N89" s="5">
        <x:f>IF($A89="","",SUMIFS(Manager_Reports!$N:$N,Manager_Reports!$A:$A,Dashboard!$B$2,Manager_Reports!$C:$C,$B89))</x:f>
      </x:c>
      <x:c r="O89" s="5">
        <x:f>IF($A89="","",SUMIFS(Manager_Reports!$O:$O,Manager_Reports!$A:$A,Dashboard!$B$2,Manager_Reports!$C:$C,$B89))</x:f>
      </x:c>
      <x:c r="P89" s="5">
        <x:f>IF($A89="","",SUMIFS(Manager_Reports!$P:$P,Manager_Reports!$A:$A,Dashboard!$B$2,Manager_Reports!$C:$C,$B89))</x:f>
      </x:c>
      <x:c r="Q89" s="5">
        <x:f>IF($A89="","",SUMIFS(Manager_Reports!$Q:$Q,Manager_Reports!$A:$A,Dashboard!$B$2,Manager_Reports!$C:$C,$B89))</x:f>
      </x:c>
    </x:row>
    <x:row r="90">
      <x:c r="A90" s="5">
        <x:f>Settings!A90</x:f>
        <x:v>0</x:v>
      </x:c>
      <x:c r="B90" s="5">
        <x:f>Settings!B90</x:f>
        <x:v>0</x:v>
      </x:c>
      <x:c r="C90" s="5">
        <x:f>Settings!C90</x:f>
        <x:v>0</x:v>
      </x:c>
      <x:c r="D90" s="5">
        <x:f>IF($A90="","",COUNTIFS(Manager_Reports!$A:$A,Dashboard!$B$2,Manager_Reports!$C:$C,$B90))</x:f>
      </x:c>
      <x:c r="E90" s="5">
        <x:f>IF($A90="","",IFERROR(LOOKUP(2,1/((Manager_Reports!$A:$A=Dashboard!$B$2)*(Manager_Reports!$C:$C=$B90)),Manager_Reports!$T:$T),""))</x:f>
      </x:c>
      <x:c r="F90" s="5">
        <x:f>IF($A90="","",SUMIFS(Manager_Reports!$F:$F,Manager_Reports!$A:$A,Dashboard!$B$2,Manager_Reports!$C:$C,$B90))</x:f>
      </x:c>
      <x:c r="G90" s="5">
        <x:f>IF($A90="","",SUMIFS(Manager_Reports!$G:$G,Manager_Reports!$A:$A,Dashboard!$B$2,Manager_Reports!$C:$C,$B90))</x:f>
      </x:c>
      <x:c r="H90" s="5">
        <x:f>IF($A90="","",SUMIFS(Manager_Reports!$H:$H,Manager_Reports!$A:$A,Dashboard!$B$2,Manager_Reports!$C:$C,$B90))</x:f>
      </x:c>
      <x:c r="I90" s="5">
        <x:f>IF($A90="","",SUMIFS(Manager_Reports!$I:$I,Manager_Reports!$A:$A,Dashboard!$B$2,Manager_Reports!$C:$C,$B90))</x:f>
      </x:c>
      <x:c r="J90" s="5">
        <x:f>IF($A90="","",SUMIFS(Manager_Reports!$J:$J,Manager_Reports!$A:$A,Dashboard!$B$2,Manager_Reports!$C:$C,$B90))</x:f>
      </x:c>
      <x:c r="K90" s="5">
        <x:f>IF($A90="","",SUMIFS(Manager_Reports!$K:$K,Manager_Reports!$A:$A,Dashboard!$B$2,Manager_Reports!$C:$C,$B90))</x:f>
      </x:c>
      <x:c r="L90" s="5">
        <x:f>IF($A90="","",SUMIFS(Manager_Reports!$L:$L,Manager_Reports!$A:$A,Dashboard!$B$2,Manager_Reports!$C:$C,$B90))</x:f>
      </x:c>
      <x:c r="M90" s="5">
        <x:f>IF($A90="","",SUMIFS(Manager_Reports!$M:$M,Manager_Reports!$A:$A,Dashboard!$B$2,Manager_Reports!$C:$C,$B90))</x:f>
      </x:c>
      <x:c r="N90" s="5">
        <x:f>IF($A90="","",SUMIFS(Manager_Reports!$N:$N,Manager_Reports!$A:$A,Dashboard!$B$2,Manager_Reports!$C:$C,$B90))</x:f>
      </x:c>
      <x:c r="O90" s="5">
        <x:f>IF($A90="","",SUMIFS(Manager_Reports!$O:$O,Manager_Reports!$A:$A,Dashboard!$B$2,Manager_Reports!$C:$C,$B90))</x:f>
      </x:c>
      <x:c r="P90" s="5">
        <x:f>IF($A90="","",SUMIFS(Manager_Reports!$P:$P,Manager_Reports!$A:$A,Dashboard!$B$2,Manager_Reports!$C:$C,$B90))</x:f>
      </x:c>
      <x:c r="Q90" s="5">
        <x:f>IF($A90="","",SUMIFS(Manager_Reports!$Q:$Q,Manager_Reports!$A:$A,Dashboard!$B$2,Manager_Reports!$C:$C,$B90))</x:f>
      </x:c>
    </x:row>
    <x:row r="91">
      <x:c r="A91" s="5">
        <x:f>Settings!A91</x:f>
        <x:v>0</x:v>
      </x:c>
      <x:c r="B91" s="5">
        <x:f>Settings!B91</x:f>
        <x:v>0</x:v>
      </x:c>
      <x:c r="C91" s="5">
        <x:f>Settings!C91</x:f>
        <x:v>0</x:v>
      </x:c>
      <x:c r="D91" s="5">
        <x:f>IF($A91="","",COUNTIFS(Manager_Reports!$A:$A,Dashboard!$B$2,Manager_Reports!$C:$C,$B91))</x:f>
      </x:c>
      <x:c r="E91" s="5">
        <x:f>IF($A91="","",IFERROR(LOOKUP(2,1/((Manager_Reports!$A:$A=Dashboard!$B$2)*(Manager_Reports!$C:$C=$B91)),Manager_Reports!$T:$T),""))</x:f>
      </x:c>
      <x:c r="F91" s="5">
        <x:f>IF($A91="","",SUMIFS(Manager_Reports!$F:$F,Manager_Reports!$A:$A,Dashboard!$B$2,Manager_Reports!$C:$C,$B91))</x:f>
      </x:c>
      <x:c r="G91" s="5">
        <x:f>IF($A91="","",SUMIFS(Manager_Reports!$G:$G,Manager_Reports!$A:$A,Dashboard!$B$2,Manager_Reports!$C:$C,$B91))</x:f>
      </x:c>
      <x:c r="H91" s="5">
        <x:f>IF($A91="","",SUMIFS(Manager_Reports!$H:$H,Manager_Reports!$A:$A,Dashboard!$B$2,Manager_Reports!$C:$C,$B91))</x:f>
      </x:c>
      <x:c r="I91" s="5">
        <x:f>IF($A91="","",SUMIFS(Manager_Reports!$I:$I,Manager_Reports!$A:$A,Dashboard!$B$2,Manager_Reports!$C:$C,$B91))</x:f>
      </x:c>
      <x:c r="J91" s="5">
        <x:f>IF($A91="","",SUMIFS(Manager_Reports!$J:$J,Manager_Reports!$A:$A,Dashboard!$B$2,Manager_Reports!$C:$C,$B91))</x:f>
      </x:c>
      <x:c r="K91" s="5">
        <x:f>IF($A91="","",SUMIFS(Manager_Reports!$K:$K,Manager_Reports!$A:$A,Dashboard!$B$2,Manager_Reports!$C:$C,$B91))</x:f>
      </x:c>
      <x:c r="L91" s="5">
        <x:f>IF($A91="","",SUMIFS(Manager_Reports!$L:$L,Manager_Reports!$A:$A,Dashboard!$B$2,Manager_Reports!$C:$C,$B91))</x:f>
      </x:c>
      <x:c r="M91" s="5">
        <x:f>IF($A91="","",SUMIFS(Manager_Reports!$M:$M,Manager_Reports!$A:$A,Dashboard!$B$2,Manager_Reports!$C:$C,$B91))</x:f>
      </x:c>
      <x:c r="N91" s="5">
        <x:f>IF($A91="","",SUMIFS(Manager_Reports!$N:$N,Manager_Reports!$A:$A,Dashboard!$B$2,Manager_Reports!$C:$C,$B91))</x:f>
      </x:c>
      <x:c r="O91" s="5">
        <x:f>IF($A91="","",SUMIFS(Manager_Reports!$O:$O,Manager_Reports!$A:$A,Dashboard!$B$2,Manager_Reports!$C:$C,$B91))</x:f>
      </x:c>
      <x:c r="P91" s="5">
        <x:f>IF($A91="","",SUMIFS(Manager_Reports!$P:$P,Manager_Reports!$A:$A,Dashboard!$B$2,Manager_Reports!$C:$C,$B91))</x:f>
      </x:c>
      <x:c r="Q91" s="5">
        <x:f>IF($A91="","",SUMIFS(Manager_Reports!$Q:$Q,Manager_Reports!$A:$A,Dashboard!$B$2,Manager_Reports!$C:$C,$B91))</x:f>
      </x:c>
    </x:row>
    <x:row r="92">
      <x:c r="A92" s="5">
        <x:f>Settings!A92</x:f>
        <x:v>0</x:v>
      </x:c>
      <x:c r="B92" s="5">
        <x:f>Settings!B92</x:f>
        <x:v>0</x:v>
      </x:c>
      <x:c r="C92" s="5">
        <x:f>Settings!C92</x:f>
        <x:v>0</x:v>
      </x:c>
      <x:c r="D92" s="5">
        <x:f>IF($A92="","",COUNTIFS(Manager_Reports!$A:$A,Dashboard!$B$2,Manager_Reports!$C:$C,$B92))</x:f>
      </x:c>
      <x:c r="E92" s="5">
        <x:f>IF($A92="","",IFERROR(LOOKUP(2,1/((Manager_Reports!$A:$A=Dashboard!$B$2)*(Manager_Reports!$C:$C=$B92)),Manager_Reports!$T:$T),""))</x:f>
      </x:c>
      <x:c r="F92" s="5">
        <x:f>IF($A92="","",SUMIFS(Manager_Reports!$F:$F,Manager_Reports!$A:$A,Dashboard!$B$2,Manager_Reports!$C:$C,$B92))</x:f>
      </x:c>
      <x:c r="G92" s="5">
        <x:f>IF($A92="","",SUMIFS(Manager_Reports!$G:$G,Manager_Reports!$A:$A,Dashboard!$B$2,Manager_Reports!$C:$C,$B92))</x:f>
      </x:c>
      <x:c r="H92" s="5">
        <x:f>IF($A92="","",SUMIFS(Manager_Reports!$H:$H,Manager_Reports!$A:$A,Dashboard!$B$2,Manager_Reports!$C:$C,$B92))</x:f>
      </x:c>
      <x:c r="I92" s="5">
        <x:f>IF($A92="","",SUMIFS(Manager_Reports!$I:$I,Manager_Reports!$A:$A,Dashboard!$B$2,Manager_Reports!$C:$C,$B92))</x:f>
      </x:c>
      <x:c r="J92" s="5">
        <x:f>IF($A92="","",SUMIFS(Manager_Reports!$J:$J,Manager_Reports!$A:$A,Dashboard!$B$2,Manager_Reports!$C:$C,$B92))</x:f>
      </x:c>
      <x:c r="K92" s="5">
        <x:f>IF($A92="","",SUMIFS(Manager_Reports!$K:$K,Manager_Reports!$A:$A,Dashboard!$B$2,Manager_Reports!$C:$C,$B92))</x:f>
      </x:c>
      <x:c r="L92" s="5">
        <x:f>IF($A92="","",SUMIFS(Manager_Reports!$L:$L,Manager_Reports!$A:$A,Dashboard!$B$2,Manager_Reports!$C:$C,$B92))</x:f>
      </x:c>
      <x:c r="M92" s="5">
        <x:f>IF($A92="","",SUMIFS(Manager_Reports!$M:$M,Manager_Reports!$A:$A,Dashboard!$B$2,Manager_Reports!$C:$C,$B92))</x:f>
      </x:c>
      <x:c r="N92" s="5">
        <x:f>IF($A92="","",SUMIFS(Manager_Reports!$N:$N,Manager_Reports!$A:$A,Dashboard!$B$2,Manager_Reports!$C:$C,$B92))</x:f>
      </x:c>
      <x:c r="O92" s="5">
        <x:f>IF($A92="","",SUMIFS(Manager_Reports!$O:$O,Manager_Reports!$A:$A,Dashboard!$B$2,Manager_Reports!$C:$C,$B92))</x:f>
      </x:c>
      <x:c r="P92" s="5">
        <x:f>IF($A92="","",SUMIFS(Manager_Reports!$P:$P,Manager_Reports!$A:$A,Dashboard!$B$2,Manager_Reports!$C:$C,$B92))</x:f>
      </x:c>
      <x:c r="Q92" s="5">
        <x:f>IF($A92="","",SUMIFS(Manager_Reports!$Q:$Q,Manager_Reports!$A:$A,Dashboard!$B$2,Manager_Reports!$C:$C,$B92))</x:f>
      </x:c>
    </x:row>
    <x:row r="93">
      <x:c r="A93" s="5">
        <x:f>Settings!A93</x:f>
        <x:v>0</x:v>
      </x:c>
      <x:c r="B93" s="5">
        <x:f>Settings!B93</x:f>
        <x:v>0</x:v>
      </x:c>
      <x:c r="C93" s="5">
        <x:f>Settings!C93</x:f>
        <x:v>0</x:v>
      </x:c>
      <x:c r="D93" s="5">
        <x:f>IF($A93="","",COUNTIFS(Manager_Reports!$A:$A,Dashboard!$B$2,Manager_Reports!$C:$C,$B93))</x:f>
      </x:c>
      <x:c r="E93" s="5">
        <x:f>IF($A93="","",IFERROR(LOOKUP(2,1/((Manager_Reports!$A:$A=Dashboard!$B$2)*(Manager_Reports!$C:$C=$B93)),Manager_Reports!$T:$T),""))</x:f>
      </x:c>
      <x:c r="F93" s="5">
        <x:f>IF($A93="","",SUMIFS(Manager_Reports!$F:$F,Manager_Reports!$A:$A,Dashboard!$B$2,Manager_Reports!$C:$C,$B93))</x:f>
      </x:c>
      <x:c r="G93" s="5">
        <x:f>IF($A93="","",SUMIFS(Manager_Reports!$G:$G,Manager_Reports!$A:$A,Dashboard!$B$2,Manager_Reports!$C:$C,$B93))</x:f>
      </x:c>
      <x:c r="H93" s="5">
        <x:f>IF($A93="","",SUMIFS(Manager_Reports!$H:$H,Manager_Reports!$A:$A,Dashboard!$B$2,Manager_Reports!$C:$C,$B93))</x:f>
      </x:c>
      <x:c r="I93" s="5">
        <x:f>IF($A93="","",SUMIFS(Manager_Reports!$I:$I,Manager_Reports!$A:$A,Dashboard!$B$2,Manager_Reports!$C:$C,$B93))</x:f>
      </x:c>
      <x:c r="J93" s="5">
        <x:f>IF($A93="","",SUMIFS(Manager_Reports!$J:$J,Manager_Reports!$A:$A,Dashboard!$B$2,Manager_Reports!$C:$C,$B93))</x:f>
      </x:c>
      <x:c r="K93" s="5">
        <x:f>IF($A93="","",SUMIFS(Manager_Reports!$K:$K,Manager_Reports!$A:$A,Dashboard!$B$2,Manager_Reports!$C:$C,$B93))</x:f>
      </x:c>
      <x:c r="L93" s="5">
        <x:f>IF($A93="","",SUMIFS(Manager_Reports!$L:$L,Manager_Reports!$A:$A,Dashboard!$B$2,Manager_Reports!$C:$C,$B93))</x:f>
      </x:c>
      <x:c r="M93" s="5">
        <x:f>IF($A93="","",SUMIFS(Manager_Reports!$M:$M,Manager_Reports!$A:$A,Dashboard!$B$2,Manager_Reports!$C:$C,$B93))</x:f>
      </x:c>
      <x:c r="N93" s="5">
        <x:f>IF($A93="","",SUMIFS(Manager_Reports!$N:$N,Manager_Reports!$A:$A,Dashboard!$B$2,Manager_Reports!$C:$C,$B93))</x:f>
      </x:c>
      <x:c r="O93" s="5">
        <x:f>IF($A93="","",SUMIFS(Manager_Reports!$O:$O,Manager_Reports!$A:$A,Dashboard!$B$2,Manager_Reports!$C:$C,$B93))</x:f>
      </x:c>
      <x:c r="P93" s="5">
        <x:f>IF($A93="","",SUMIFS(Manager_Reports!$P:$P,Manager_Reports!$A:$A,Dashboard!$B$2,Manager_Reports!$C:$C,$B93))</x:f>
      </x:c>
      <x:c r="Q93" s="5">
        <x:f>IF($A93="","",SUMIFS(Manager_Reports!$Q:$Q,Manager_Reports!$A:$A,Dashboard!$B$2,Manager_Reports!$C:$C,$B93))</x:f>
      </x:c>
    </x:row>
    <x:row r="94">
      <x:c r="A94" s="5">
        <x:f>Settings!A94</x:f>
        <x:v>0</x:v>
      </x:c>
      <x:c r="B94" s="5">
        <x:f>Settings!B94</x:f>
        <x:v>0</x:v>
      </x:c>
      <x:c r="C94" s="5">
        <x:f>Settings!C94</x:f>
        <x:v>0</x:v>
      </x:c>
      <x:c r="D94" s="5">
        <x:f>IF($A94="","",COUNTIFS(Manager_Reports!$A:$A,Dashboard!$B$2,Manager_Reports!$C:$C,$B94))</x:f>
      </x:c>
      <x:c r="E94" s="5">
        <x:f>IF($A94="","",IFERROR(LOOKUP(2,1/((Manager_Reports!$A:$A=Dashboard!$B$2)*(Manager_Reports!$C:$C=$B94)),Manager_Reports!$T:$T),""))</x:f>
      </x:c>
      <x:c r="F94" s="5">
        <x:f>IF($A94="","",SUMIFS(Manager_Reports!$F:$F,Manager_Reports!$A:$A,Dashboard!$B$2,Manager_Reports!$C:$C,$B94))</x:f>
      </x:c>
      <x:c r="G94" s="5">
        <x:f>IF($A94="","",SUMIFS(Manager_Reports!$G:$G,Manager_Reports!$A:$A,Dashboard!$B$2,Manager_Reports!$C:$C,$B94))</x:f>
      </x:c>
      <x:c r="H94" s="5">
        <x:f>IF($A94="","",SUMIFS(Manager_Reports!$H:$H,Manager_Reports!$A:$A,Dashboard!$B$2,Manager_Reports!$C:$C,$B94))</x:f>
      </x:c>
      <x:c r="I94" s="5">
        <x:f>IF($A94="","",SUMIFS(Manager_Reports!$I:$I,Manager_Reports!$A:$A,Dashboard!$B$2,Manager_Reports!$C:$C,$B94))</x:f>
      </x:c>
      <x:c r="J94" s="5">
        <x:f>IF($A94="","",SUMIFS(Manager_Reports!$J:$J,Manager_Reports!$A:$A,Dashboard!$B$2,Manager_Reports!$C:$C,$B94))</x:f>
      </x:c>
      <x:c r="K94" s="5">
        <x:f>IF($A94="","",SUMIFS(Manager_Reports!$K:$K,Manager_Reports!$A:$A,Dashboard!$B$2,Manager_Reports!$C:$C,$B94))</x:f>
      </x:c>
      <x:c r="L94" s="5">
        <x:f>IF($A94="","",SUMIFS(Manager_Reports!$L:$L,Manager_Reports!$A:$A,Dashboard!$B$2,Manager_Reports!$C:$C,$B94))</x:f>
      </x:c>
      <x:c r="M94" s="5">
        <x:f>IF($A94="","",SUMIFS(Manager_Reports!$M:$M,Manager_Reports!$A:$A,Dashboard!$B$2,Manager_Reports!$C:$C,$B94))</x:f>
      </x:c>
      <x:c r="N94" s="5">
        <x:f>IF($A94="","",SUMIFS(Manager_Reports!$N:$N,Manager_Reports!$A:$A,Dashboard!$B$2,Manager_Reports!$C:$C,$B94))</x:f>
      </x:c>
      <x:c r="O94" s="5">
        <x:f>IF($A94="","",SUMIFS(Manager_Reports!$O:$O,Manager_Reports!$A:$A,Dashboard!$B$2,Manager_Reports!$C:$C,$B94))</x:f>
      </x:c>
      <x:c r="P94" s="5">
        <x:f>IF($A94="","",SUMIFS(Manager_Reports!$P:$P,Manager_Reports!$A:$A,Dashboard!$B$2,Manager_Reports!$C:$C,$B94))</x:f>
      </x:c>
      <x:c r="Q94" s="5">
        <x:f>IF($A94="","",SUMIFS(Manager_Reports!$Q:$Q,Manager_Reports!$A:$A,Dashboard!$B$2,Manager_Reports!$C:$C,$B94))</x:f>
      </x:c>
    </x:row>
    <x:row r="95">
      <x:c r="A95" s="5">
        <x:f>Settings!A95</x:f>
        <x:v>0</x:v>
      </x:c>
      <x:c r="B95" s="5">
        <x:f>Settings!B95</x:f>
        <x:v>0</x:v>
      </x:c>
      <x:c r="C95" s="5">
        <x:f>Settings!C95</x:f>
        <x:v>0</x:v>
      </x:c>
      <x:c r="D95" s="5">
        <x:f>IF($A95="","",COUNTIFS(Manager_Reports!$A:$A,Dashboard!$B$2,Manager_Reports!$C:$C,$B95))</x:f>
      </x:c>
      <x:c r="E95" s="5">
        <x:f>IF($A95="","",IFERROR(LOOKUP(2,1/((Manager_Reports!$A:$A=Dashboard!$B$2)*(Manager_Reports!$C:$C=$B95)),Manager_Reports!$T:$T),""))</x:f>
      </x:c>
      <x:c r="F95" s="5">
        <x:f>IF($A95="","",SUMIFS(Manager_Reports!$F:$F,Manager_Reports!$A:$A,Dashboard!$B$2,Manager_Reports!$C:$C,$B95))</x:f>
      </x:c>
      <x:c r="G95" s="5">
        <x:f>IF($A95="","",SUMIFS(Manager_Reports!$G:$G,Manager_Reports!$A:$A,Dashboard!$B$2,Manager_Reports!$C:$C,$B95))</x:f>
      </x:c>
      <x:c r="H95" s="5">
        <x:f>IF($A95="","",SUMIFS(Manager_Reports!$H:$H,Manager_Reports!$A:$A,Dashboard!$B$2,Manager_Reports!$C:$C,$B95))</x:f>
      </x:c>
      <x:c r="I95" s="5">
        <x:f>IF($A95="","",SUMIFS(Manager_Reports!$I:$I,Manager_Reports!$A:$A,Dashboard!$B$2,Manager_Reports!$C:$C,$B95))</x:f>
      </x:c>
      <x:c r="J95" s="5">
        <x:f>IF($A95="","",SUMIFS(Manager_Reports!$J:$J,Manager_Reports!$A:$A,Dashboard!$B$2,Manager_Reports!$C:$C,$B95))</x:f>
      </x:c>
      <x:c r="K95" s="5">
        <x:f>IF($A95="","",SUMIFS(Manager_Reports!$K:$K,Manager_Reports!$A:$A,Dashboard!$B$2,Manager_Reports!$C:$C,$B95))</x:f>
      </x:c>
      <x:c r="L95" s="5">
        <x:f>IF($A95="","",SUMIFS(Manager_Reports!$L:$L,Manager_Reports!$A:$A,Dashboard!$B$2,Manager_Reports!$C:$C,$B95))</x:f>
      </x:c>
      <x:c r="M95" s="5">
        <x:f>IF($A95="","",SUMIFS(Manager_Reports!$M:$M,Manager_Reports!$A:$A,Dashboard!$B$2,Manager_Reports!$C:$C,$B95))</x:f>
      </x:c>
      <x:c r="N95" s="5">
        <x:f>IF($A95="","",SUMIFS(Manager_Reports!$N:$N,Manager_Reports!$A:$A,Dashboard!$B$2,Manager_Reports!$C:$C,$B95))</x:f>
      </x:c>
      <x:c r="O95" s="5">
        <x:f>IF($A95="","",SUMIFS(Manager_Reports!$O:$O,Manager_Reports!$A:$A,Dashboard!$B$2,Manager_Reports!$C:$C,$B95))</x:f>
      </x:c>
      <x:c r="P95" s="5">
        <x:f>IF($A95="","",SUMIFS(Manager_Reports!$P:$P,Manager_Reports!$A:$A,Dashboard!$B$2,Manager_Reports!$C:$C,$B95))</x:f>
      </x:c>
      <x:c r="Q95" s="5">
        <x:f>IF($A95="","",SUMIFS(Manager_Reports!$Q:$Q,Manager_Reports!$A:$A,Dashboard!$B$2,Manager_Reports!$C:$C,$B95))</x:f>
      </x:c>
    </x:row>
    <x:row r="96">
      <x:c r="A96" s="5">
        <x:f>Settings!A96</x:f>
        <x:v>0</x:v>
      </x:c>
      <x:c r="B96" s="5">
        <x:f>Settings!B96</x:f>
        <x:v>0</x:v>
      </x:c>
      <x:c r="C96" s="5">
        <x:f>Settings!C96</x:f>
        <x:v>0</x:v>
      </x:c>
      <x:c r="D96" s="5">
        <x:f>IF($A96="","",COUNTIFS(Manager_Reports!$A:$A,Dashboard!$B$2,Manager_Reports!$C:$C,$B96))</x:f>
      </x:c>
      <x:c r="E96" s="5">
        <x:f>IF($A96="","",IFERROR(LOOKUP(2,1/((Manager_Reports!$A:$A=Dashboard!$B$2)*(Manager_Reports!$C:$C=$B96)),Manager_Reports!$T:$T),""))</x:f>
      </x:c>
      <x:c r="F96" s="5">
        <x:f>IF($A96="","",SUMIFS(Manager_Reports!$F:$F,Manager_Reports!$A:$A,Dashboard!$B$2,Manager_Reports!$C:$C,$B96))</x:f>
      </x:c>
      <x:c r="G96" s="5">
        <x:f>IF($A96="","",SUMIFS(Manager_Reports!$G:$G,Manager_Reports!$A:$A,Dashboard!$B$2,Manager_Reports!$C:$C,$B96))</x:f>
      </x:c>
      <x:c r="H96" s="5">
        <x:f>IF($A96="","",SUMIFS(Manager_Reports!$H:$H,Manager_Reports!$A:$A,Dashboard!$B$2,Manager_Reports!$C:$C,$B96))</x:f>
      </x:c>
      <x:c r="I96" s="5">
        <x:f>IF($A96="","",SUMIFS(Manager_Reports!$I:$I,Manager_Reports!$A:$A,Dashboard!$B$2,Manager_Reports!$C:$C,$B96))</x:f>
      </x:c>
      <x:c r="J96" s="5">
        <x:f>IF($A96="","",SUMIFS(Manager_Reports!$J:$J,Manager_Reports!$A:$A,Dashboard!$B$2,Manager_Reports!$C:$C,$B96))</x:f>
      </x:c>
      <x:c r="K96" s="5">
        <x:f>IF($A96="","",SUMIFS(Manager_Reports!$K:$K,Manager_Reports!$A:$A,Dashboard!$B$2,Manager_Reports!$C:$C,$B96))</x:f>
      </x:c>
      <x:c r="L96" s="5">
        <x:f>IF($A96="","",SUMIFS(Manager_Reports!$L:$L,Manager_Reports!$A:$A,Dashboard!$B$2,Manager_Reports!$C:$C,$B96))</x:f>
      </x:c>
      <x:c r="M96" s="5">
        <x:f>IF($A96="","",SUMIFS(Manager_Reports!$M:$M,Manager_Reports!$A:$A,Dashboard!$B$2,Manager_Reports!$C:$C,$B96))</x:f>
      </x:c>
      <x:c r="N96" s="5">
        <x:f>IF($A96="","",SUMIFS(Manager_Reports!$N:$N,Manager_Reports!$A:$A,Dashboard!$B$2,Manager_Reports!$C:$C,$B96))</x:f>
      </x:c>
      <x:c r="O96" s="5">
        <x:f>IF($A96="","",SUMIFS(Manager_Reports!$O:$O,Manager_Reports!$A:$A,Dashboard!$B$2,Manager_Reports!$C:$C,$B96))</x:f>
      </x:c>
      <x:c r="P96" s="5">
        <x:f>IF($A96="","",SUMIFS(Manager_Reports!$P:$P,Manager_Reports!$A:$A,Dashboard!$B$2,Manager_Reports!$C:$C,$B96))</x:f>
      </x:c>
      <x:c r="Q96" s="5">
        <x:f>IF($A96="","",SUMIFS(Manager_Reports!$Q:$Q,Manager_Reports!$A:$A,Dashboard!$B$2,Manager_Reports!$C:$C,$B96))</x:f>
      </x:c>
    </x:row>
    <x:row r="97">
      <x:c r="A97" s="5">
        <x:f>Settings!A97</x:f>
        <x:v>0</x:v>
      </x:c>
      <x:c r="B97" s="5">
        <x:f>Settings!B97</x:f>
        <x:v>0</x:v>
      </x:c>
      <x:c r="C97" s="5">
        <x:f>Settings!C97</x:f>
        <x:v>0</x:v>
      </x:c>
      <x:c r="D97" s="5">
        <x:f>IF($A97="","",COUNTIFS(Manager_Reports!$A:$A,Dashboard!$B$2,Manager_Reports!$C:$C,$B97))</x:f>
      </x:c>
      <x:c r="E97" s="5">
        <x:f>IF($A97="","",IFERROR(LOOKUP(2,1/((Manager_Reports!$A:$A=Dashboard!$B$2)*(Manager_Reports!$C:$C=$B97)),Manager_Reports!$T:$T),""))</x:f>
      </x:c>
      <x:c r="F97" s="5">
        <x:f>IF($A97="","",SUMIFS(Manager_Reports!$F:$F,Manager_Reports!$A:$A,Dashboard!$B$2,Manager_Reports!$C:$C,$B97))</x:f>
      </x:c>
      <x:c r="G97" s="5">
        <x:f>IF($A97="","",SUMIFS(Manager_Reports!$G:$G,Manager_Reports!$A:$A,Dashboard!$B$2,Manager_Reports!$C:$C,$B97))</x:f>
      </x:c>
      <x:c r="H97" s="5">
        <x:f>IF($A97="","",SUMIFS(Manager_Reports!$H:$H,Manager_Reports!$A:$A,Dashboard!$B$2,Manager_Reports!$C:$C,$B97))</x:f>
      </x:c>
      <x:c r="I97" s="5">
        <x:f>IF($A97="","",SUMIFS(Manager_Reports!$I:$I,Manager_Reports!$A:$A,Dashboard!$B$2,Manager_Reports!$C:$C,$B97))</x:f>
      </x:c>
      <x:c r="J97" s="5">
        <x:f>IF($A97="","",SUMIFS(Manager_Reports!$J:$J,Manager_Reports!$A:$A,Dashboard!$B$2,Manager_Reports!$C:$C,$B97))</x:f>
      </x:c>
      <x:c r="K97" s="5">
        <x:f>IF($A97="","",SUMIFS(Manager_Reports!$K:$K,Manager_Reports!$A:$A,Dashboard!$B$2,Manager_Reports!$C:$C,$B97))</x:f>
      </x:c>
      <x:c r="L97" s="5">
        <x:f>IF($A97="","",SUMIFS(Manager_Reports!$L:$L,Manager_Reports!$A:$A,Dashboard!$B$2,Manager_Reports!$C:$C,$B97))</x:f>
      </x:c>
      <x:c r="M97" s="5">
        <x:f>IF($A97="","",SUMIFS(Manager_Reports!$M:$M,Manager_Reports!$A:$A,Dashboard!$B$2,Manager_Reports!$C:$C,$B97))</x:f>
      </x:c>
      <x:c r="N97" s="5">
        <x:f>IF($A97="","",SUMIFS(Manager_Reports!$N:$N,Manager_Reports!$A:$A,Dashboard!$B$2,Manager_Reports!$C:$C,$B97))</x:f>
      </x:c>
      <x:c r="O97" s="5">
        <x:f>IF($A97="","",SUMIFS(Manager_Reports!$O:$O,Manager_Reports!$A:$A,Dashboard!$B$2,Manager_Reports!$C:$C,$B97))</x:f>
      </x:c>
      <x:c r="P97" s="5">
        <x:f>IF($A97="","",SUMIFS(Manager_Reports!$P:$P,Manager_Reports!$A:$A,Dashboard!$B$2,Manager_Reports!$C:$C,$B97))</x:f>
      </x:c>
      <x:c r="Q97" s="5">
        <x:f>IF($A97="","",SUMIFS(Manager_Reports!$Q:$Q,Manager_Reports!$A:$A,Dashboard!$B$2,Manager_Reports!$C:$C,$B97))</x:f>
      </x:c>
    </x:row>
    <x:row r="98">
      <x:c r="A98" s="5">
        <x:f>Settings!A98</x:f>
        <x:v>0</x:v>
      </x:c>
      <x:c r="B98" s="5">
        <x:f>Settings!B98</x:f>
        <x:v>0</x:v>
      </x:c>
      <x:c r="C98" s="5">
        <x:f>Settings!C98</x:f>
        <x:v>0</x:v>
      </x:c>
      <x:c r="D98" s="5">
        <x:f>IF($A98="","",COUNTIFS(Manager_Reports!$A:$A,Dashboard!$B$2,Manager_Reports!$C:$C,$B98))</x:f>
      </x:c>
      <x:c r="E98" s="5">
        <x:f>IF($A98="","",IFERROR(LOOKUP(2,1/((Manager_Reports!$A:$A=Dashboard!$B$2)*(Manager_Reports!$C:$C=$B98)),Manager_Reports!$T:$T),""))</x:f>
      </x:c>
      <x:c r="F98" s="5">
        <x:f>IF($A98="","",SUMIFS(Manager_Reports!$F:$F,Manager_Reports!$A:$A,Dashboard!$B$2,Manager_Reports!$C:$C,$B98))</x:f>
      </x:c>
      <x:c r="G98" s="5">
        <x:f>IF($A98="","",SUMIFS(Manager_Reports!$G:$G,Manager_Reports!$A:$A,Dashboard!$B$2,Manager_Reports!$C:$C,$B98))</x:f>
      </x:c>
      <x:c r="H98" s="5">
        <x:f>IF($A98="","",SUMIFS(Manager_Reports!$H:$H,Manager_Reports!$A:$A,Dashboard!$B$2,Manager_Reports!$C:$C,$B98))</x:f>
      </x:c>
      <x:c r="I98" s="5">
        <x:f>IF($A98="","",SUMIFS(Manager_Reports!$I:$I,Manager_Reports!$A:$A,Dashboard!$B$2,Manager_Reports!$C:$C,$B98))</x:f>
      </x:c>
      <x:c r="J98" s="5">
        <x:f>IF($A98="","",SUMIFS(Manager_Reports!$J:$J,Manager_Reports!$A:$A,Dashboard!$B$2,Manager_Reports!$C:$C,$B98))</x:f>
      </x:c>
      <x:c r="K98" s="5">
        <x:f>IF($A98="","",SUMIFS(Manager_Reports!$K:$K,Manager_Reports!$A:$A,Dashboard!$B$2,Manager_Reports!$C:$C,$B98))</x:f>
      </x:c>
      <x:c r="L98" s="5">
        <x:f>IF($A98="","",SUMIFS(Manager_Reports!$L:$L,Manager_Reports!$A:$A,Dashboard!$B$2,Manager_Reports!$C:$C,$B98))</x:f>
      </x:c>
      <x:c r="M98" s="5">
        <x:f>IF($A98="","",SUMIFS(Manager_Reports!$M:$M,Manager_Reports!$A:$A,Dashboard!$B$2,Manager_Reports!$C:$C,$B98))</x:f>
      </x:c>
      <x:c r="N98" s="5">
        <x:f>IF($A98="","",SUMIFS(Manager_Reports!$N:$N,Manager_Reports!$A:$A,Dashboard!$B$2,Manager_Reports!$C:$C,$B98))</x:f>
      </x:c>
      <x:c r="O98" s="5">
        <x:f>IF($A98="","",SUMIFS(Manager_Reports!$O:$O,Manager_Reports!$A:$A,Dashboard!$B$2,Manager_Reports!$C:$C,$B98))</x:f>
      </x:c>
      <x:c r="P98" s="5">
        <x:f>IF($A98="","",SUMIFS(Manager_Reports!$P:$P,Manager_Reports!$A:$A,Dashboard!$B$2,Manager_Reports!$C:$C,$B98))</x:f>
      </x:c>
      <x:c r="Q98" s="5">
        <x:f>IF($A98="","",SUMIFS(Manager_Reports!$Q:$Q,Manager_Reports!$A:$A,Dashboard!$B$2,Manager_Reports!$C:$C,$B98))</x:f>
      </x:c>
    </x:row>
    <x:row r="99">
      <x:c r="A99" s="5">
        <x:f>Settings!A99</x:f>
        <x:v>0</x:v>
      </x:c>
      <x:c r="B99" s="5">
        <x:f>Settings!B99</x:f>
        <x:v>0</x:v>
      </x:c>
      <x:c r="C99" s="5">
        <x:f>Settings!C99</x:f>
        <x:v>0</x:v>
      </x:c>
      <x:c r="D99" s="5">
        <x:f>IF($A99="","",COUNTIFS(Manager_Reports!$A:$A,Dashboard!$B$2,Manager_Reports!$C:$C,$B99))</x:f>
      </x:c>
      <x:c r="E99" s="5">
        <x:f>IF($A99="","",IFERROR(LOOKUP(2,1/((Manager_Reports!$A:$A=Dashboard!$B$2)*(Manager_Reports!$C:$C=$B99)),Manager_Reports!$T:$T),""))</x:f>
      </x:c>
      <x:c r="F99" s="5">
        <x:f>IF($A99="","",SUMIFS(Manager_Reports!$F:$F,Manager_Reports!$A:$A,Dashboard!$B$2,Manager_Reports!$C:$C,$B99))</x:f>
      </x:c>
      <x:c r="G99" s="5">
        <x:f>IF($A99="","",SUMIFS(Manager_Reports!$G:$G,Manager_Reports!$A:$A,Dashboard!$B$2,Manager_Reports!$C:$C,$B99))</x:f>
      </x:c>
      <x:c r="H99" s="5">
        <x:f>IF($A99="","",SUMIFS(Manager_Reports!$H:$H,Manager_Reports!$A:$A,Dashboard!$B$2,Manager_Reports!$C:$C,$B99))</x:f>
      </x:c>
      <x:c r="I99" s="5">
        <x:f>IF($A99="","",SUMIFS(Manager_Reports!$I:$I,Manager_Reports!$A:$A,Dashboard!$B$2,Manager_Reports!$C:$C,$B99))</x:f>
      </x:c>
      <x:c r="J99" s="5">
        <x:f>IF($A99="","",SUMIFS(Manager_Reports!$J:$J,Manager_Reports!$A:$A,Dashboard!$B$2,Manager_Reports!$C:$C,$B99))</x:f>
      </x:c>
      <x:c r="K99" s="5">
        <x:f>IF($A99="","",SUMIFS(Manager_Reports!$K:$K,Manager_Reports!$A:$A,Dashboard!$B$2,Manager_Reports!$C:$C,$B99))</x:f>
      </x:c>
      <x:c r="L99" s="5">
        <x:f>IF($A99="","",SUMIFS(Manager_Reports!$L:$L,Manager_Reports!$A:$A,Dashboard!$B$2,Manager_Reports!$C:$C,$B99))</x:f>
      </x:c>
      <x:c r="M99" s="5">
        <x:f>IF($A99="","",SUMIFS(Manager_Reports!$M:$M,Manager_Reports!$A:$A,Dashboard!$B$2,Manager_Reports!$C:$C,$B99))</x:f>
      </x:c>
      <x:c r="N99" s="5">
        <x:f>IF($A99="","",SUMIFS(Manager_Reports!$N:$N,Manager_Reports!$A:$A,Dashboard!$B$2,Manager_Reports!$C:$C,$B99))</x:f>
      </x:c>
      <x:c r="O99" s="5">
        <x:f>IF($A99="","",SUMIFS(Manager_Reports!$O:$O,Manager_Reports!$A:$A,Dashboard!$B$2,Manager_Reports!$C:$C,$B99))</x:f>
      </x:c>
      <x:c r="P99" s="5">
        <x:f>IF($A99="","",SUMIFS(Manager_Reports!$P:$P,Manager_Reports!$A:$A,Dashboard!$B$2,Manager_Reports!$C:$C,$B99))</x:f>
      </x:c>
      <x:c r="Q99" s="5">
        <x:f>IF($A99="","",SUMIFS(Manager_Reports!$Q:$Q,Manager_Reports!$A:$A,Dashboard!$B$2,Manager_Reports!$C:$C,$B99))</x:f>
      </x:c>
    </x:row>
    <x:row r="100">
      <x:c r="A100" s="5">
        <x:f>Settings!A100</x:f>
        <x:v>0</x:v>
      </x:c>
      <x:c r="B100" s="5">
        <x:f>Settings!B100</x:f>
        <x:v>0</x:v>
      </x:c>
      <x:c r="C100" s="5">
        <x:f>Settings!C100</x:f>
        <x:v>0</x:v>
      </x:c>
      <x:c r="D100" s="5">
        <x:f>IF($A100="","",COUNTIFS(Manager_Reports!$A:$A,Dashboard!$B$2,Manager_Reports!$C:$C,$B100))</x:f>
      </x:c>
      <x:c r="E100" s="5">
        <x:f>IF($A100="","",IFERROR(LOOKUP(2,1/((Manager_Reports!$A:$A=Dashboard!$B$2)*(Manager_Reports!$C:$C=$B100)),Manager_Reports!$T:$T),""))</x:f>
      </x:c>
      <x:c r="F100" s="5">
        <x:f>IF($A100="","",SUMIFS(Manager_Reports!$F:$F,Manager_Reports!$A:$A,Dashboard!$B$2,Manager_Reports!$C:$C,$B100))</x:f>
      </x:c>
      <x:c r="G100" s="5">
        <x:f>IF($A100="","",SUMIFS(Manager_Reports!$G:$G,Manager_Reports!$A:$A,Dashboard!$B$2,Manager_Reports!$C:$C,$B100))</x:f>
      </x:c>
      <x:c r="H100" s="5">
        <x:f>IF($A100="","",SUMIFS(Manager_Reports!$H:$H,Manager_Reports!$A:$A,Dashboard!$B$2,Manager_Reports!$C:$C,$B100))</x:f>
      </x:c>
      <x:c r="I100" s="5">
        <x:f>IF($A100="","",SUMIFS(Manager_Reports!$I:$I,Manager_Reports!$A:$A,Dashboard!$B$2,Manager_Reports!$C:$C,$B100))</x:f>
      </x:c>
      <x:c r="J100" s="5">
        <x:f>IF($A100="","",SUMIFS(Manager_Reports!$J:$J,Manager_Reports!$A:$A,Dashboard!$B$2,Manager_Reports!$C:$C,$B100))</x:f>
      </x:c>
      <x:c r="K100" s="5">
        <x:f>IF($A100="","",SUMIFS(Manager_Reports!$K:$K,Manager_Reports!$A:$A,Dashboard!$B$2,Manager_Reports!$C:$C,$B100))</x:f>
      </x:c>
      <x:c r="L100" s="5">
        <x:f>IF($A100="","",SUMIFS(Manager_Reports!$L:$L,Manager_Reports!$A:$A,Dashboard!$B$2,Manager_Reports!$C:$C,$B100))</x:f>
      </x:c>
      <x:c r="M100" s="5">
        <x:f>IF($A100="","",SUMIFS(Manager_Reports!$M:$M,Manager_Reports!$A:$A,Dashboard!$B$2,Manager_Reports!$C:$C,$B100))</x:f>
      </x:c>
      <x:c r="N100" s="5">
        <x:f>IF($A100="","",SUMIFS(Manager_Reports!$N:$N,Manager_Reports!$A:$A,Dashboard!$B$2,Manager_Reports!$C:$C,$B100))</x:f>
      </x:c>
      <x:c r="O100" s="5">
        <x:f>IF($A100="","",SUMIFS(Manager_Reports!$O:$O,Manager_Reports!$A:$A,Dashboard!$B$2,Manager_Reports!$C:$C,$B100))</x:f>
      </x:c>
      <x:c r="P100" s="5">
        <x:f>IF($A100="","",SUMIFS(Manager_Reports!$P:$P,Manager_Reports!$A:$A,Dashboard!$B$2,Manager_Reports!$C:$C,$B100))</x:f>
      </x:c>
      <x:c r="Q100" s="5">
        <x:f>IF($A100="","",SUMIFS(Manager_Reports!$Q:$Q,Manager_Reports!$A:$A,Dashboard!$B$2,Manager_Reports!$C:$C,$B100))</x:f>
      </x:c>
    </x:row>
    <x:row r="101">
      <x:c r="A101" s="5">
        <x:f>Settings!A101</x:f>
        <x:v>0</x:v>
      </x:c>
      <x:c r="B101" s="5">
        <x:f>Settings!B101</x:f>
        <x:v>0</x:v>
      </x:c>
      <x:c r="C101" s="5">
        <x:f>Settings!C101</x:f>
        <x:v>0</x:v>
      </x:c>
      <x:c r="D101" s="5">
        <x:f>IF($A101="","",COUNTIFS(Manager_Reports!$A:$A,Dashboard!$B$2,Manager_Reports!$C:$C,$B101))</x:f>
      </x:c>
      <x:c r="E101" s="5">
        <x:f>IF($A101="","",IFERROR(LOOKUP(2,1/((Manager_Reports!$A:$A=Dashboard!$B$2)*(Manager_Reports!$C:$C=$B101)),Manager_Reports!$T:$T),""))</x:f>
      </x:c>
      <x:c r="F101" s="5">
        <x:f>IF($A101="","",SUMIFS(Manager_Reports!$F:$F,Manager_Reports!$A:$A,Dashboard!$B$2,Manager_Reports!$C:$C,$B101))</x:f>
      </x:c>
      <x:c r="G101" s="5">
        <x:f>IF($A101="","",SUMIFS(Manager_Reports!$G:$G,Manager_Reports!$A:$A,Dashboard!$B$2,Manager_Reports!$C:$C,$B101))</x:f>
      </x:c>
      <x:c r="H101" s="5">
        <x:f>IF($A101="","",SUMIFS(Manager_Reports!$H:$H,Manager_Reports!$A:$A,Dashboard!$B$2,Manager_Reports!$C:$C,$B101))</x:f>
      </x:c>
      <x:c r="I101" s="5">
        <x:f>IF($A101="","",SUMIFS(Manager_Reports!$I:$I,Manager_Reports!$A:$A,Dashboard!$B$2,Manager_Reports!$C:$C,$B101))</x:f>
      </x:c>
      <x:c r="J101" s="5">
        <x:f>IF($A101="","",SUMIFS(Manager_Reports!$J:$J,Manager_Reports!$A:$A,Dashboard!$B$2,Manager_Reports!$C:$C,$B101))</x:f>
      </x:c>
      <x:c r="K101" s="5">
        <x:f>IF($A101="","",SUMIFS(Manager_Reports!$K:$K,Manager_Reports!$A:$A,Dashboard!$B$2,Manager_Reports!$C:$C,$B101))</x:f>
      </x:c>
      <x:c r="L101" s="5">
        <x:f>IF($A101="","",SUMIFS(Manager_Reports!$L:$L,Manager_Reports!$A:$A,Dashboard!$B$2,Manager_Reports!$C:$C,$B101))</x:f>
      </x:c>
      <x:c r="M101" s="5">
        <x:f>IF($A101="","",SUMIFS(Manager_Reports!$M:$M,Manager_Reports!$A:$A,Dashboard!$B$2,Manager_Reports!$C:$C,$B101))</x:f>
      </x:c>
      <x:c r="N101" s="5">
        <x:f>IF($A101="","",SUMIFS(Manager_Reports!$N:$N,Manager_Reports!$A:$A,Dashboard!$B$2,Manager_Reports!$C:$C,$B101))</x:f>
      </x:c>
      <x:c r="O101" s="5">
        <x:f>IF($A101="","",SUMIFS(Manager_Reports!$O:$O,Manager_Reports!$A:$A,Dashboard!$B$2,Manager_Reports!$C:$C,$B101))</x:f>
      </x:c>
      <x:c r="P101" s="5">
        <x:f>IF($A101="","",SUMIFS(Manager_Reports!$P:$P,Manager_Reports!$A:$A,Dashboard!$B$2,Manager_Reports!$C:$C,$B101))</x:f>
      </x:c>
      <x:c r="Q101" s="5">
        <x:f>IF($A101="","",SUMIFS(Manager_Reports!$Q:$Q,Manager_Reports!$A:$A,Dashboard!$B$2,Manager_Reports!$C:$C,$B101))</x:f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4" customWidth="1"/>
    <x:col min="2" max="2" width="14" customWidth="1"/>
    <x:col min="3" max="3" width="14" customWidth="1"/>
    <x:col min="4" max="4" width="17" customWidth="1"/>
    <x:col min="5" max="5" width="14" customWidth="1"/>
    <x:col min="6" max="6" width="14" customWidth="1"/>
    <x:col min="7" max="7" width="14" customWidth="1"/>
    <x:col min="8" max="8" width="14" customWidth="1"/>
    <x:col min="9" max="9" width="14" customWidth="1"/>
    <x:col min="10" max="10" width="15" customWidth="1"/>
    <x:col min="11" max="11" width="14" customWidth="1"/>
    <x:col min="12" max="12" width="14" customWidth="1"/>
    <x:col min="13" max="13" width="14" customWidth="1"/>
    <x:col min="14" max="14" width="14" customWidth="1"/>
    <x:col min="15" max="15" width="14" customWidth="1"/>
    <x:col min="16" max="16" width="14" customWidth="1"/>
    <x:col min="17" max="17" width="15" customWidth="1"/>
    <x:col min="18" max="18" width="14" customWidth="1"/>
  </x:cols>
  <x:sheetData>
    <x:row r="1">
      <x:c r="A1" s="4" t="inlineStr">
        <x:is>
          <x:t xml:space="preserve">Тимлид</x:t>
        </x:is>
      </x:c>
      <x:c r="B1" s="4" t="inlineStr">
        <x:is>
          <x:t xml:space="preserve">Chat ID</x:t>
        </x:is>
      </x:c>
      <x:c r="C1" s="4" t="inlineStr">
        <x:is>
          <x:t xml:space="preserve">Head Chat ID</x:t>
        </x:is>
      </x:c>
      <x:c r="D1" s="4" t="inlineStr">
        <x:is>
          <x:t xml:space="preserve">Отчётов сегодня</x:t>
        </x:is>
      </x:c>
      <x:c r="E1" s="4" t="inlineStr">
        <x:is>
          <x:t xml:space="preserve">Статус</x:t>
        </x:is>
      </x:c>
      <x:c r="F1" s="4" t="inlineStr">
        <x:is>
          <x:t xml:space="preserve">Команда</x:t>
        </x:is>
      </x:c>
      <x:c r="G1" s="4" t="inlineStr">
        <x:is>
          <x:t xml:space="preserve">Общий актив</x:t>
        </x:is>
      </x:c>
      <x:c r="H1" s="4" t="inlineStr">
        <x:is>
          <x:t xml:space="preserve">Номеров</x:t>
        </x:is>
      </x:c>
      <x:c r="I1" s="4" t="inlineStr">
        <x:is>
          <x:t xml:space="preserve">Плюсовые</x:t>
        </x:is>
      </x:c>
      <x:c r="J1" s="4" t="inlineStr">
        <x:is>
          <x:t xml:space="preserve">Средний актив</x:t>
        </x:is>
      </x:c>
      <x:c r="K1" s="4" t="inlineStr">
        <x:is>
          <x:t xml:space="preserve">Вбросы</x:t>
        </x:is>
      </x:c>
      <x:c r="L1" s="4" t="inlineStr">
        <x:is>
          <x:t xml:space="preserve">Предлог</x:t>
        </x:is>
      </x:c>
      <x:c r="M1" s="4" t="inlineStr">
        <x:is>
          <x:t xml:space="preserve">Согласий</x:t>
        </x:is>
      </x:c>
      <x:c r="N1" s="4" t="inlineStr">
        <x:is>
          <x:t xml:space="preserve">Лиды</x:t>
        </x:is>
      </x:c>
      <x:c r="O1" s="4" t="inlineStr">
        <x:is>
          <x:t xml:space="preserve">Депы</x:t>
        </x:is>
      </x:c>
      <x:c r="P1" s="4" t="inlineStr">
        <x:is>
          <x:t xml:space="preserve">План</x:t>
        </x:is>
      </x:c>
      <x:c r="Q1" s="4" t="inlineStr">
        <x:is>
          <x:t xml:space="preserve">Тотал сделано</x:t>
        </x:is>
      </x:c>
      <x:c r="R1" s="4" t="inlineStr">
        <x:is>
          <x:t xml:space="preserve">Тотал план</x:t>
        </x:is>
      </x:c>
    </x:row>
    <x:row r="2">
      <x:c r="A2" s="5" t="str">
        <x:f>Settings!E2</x:f>
        <x:v>Имя тимлида</x:v>
      </x:c>
      <x:c r="B2" s="5" t="str">
        <x:f>Settings!F2</x:f>
        <x:v>Chat ID</x:v>
      </x:c>
      <x:c r="C2" s="5" t="str">
        <x:f>Settings!G2</x:f>
        <x:v>Head Chat ID</x:v>
      </x:c>
      <x:c r="D2" s="5">
        <x:f>IF($A2="","",COUNTIFS(TeamLead_Reports!$A:$A,Dashboard!$B$2,TeamLead_Reports!$D:$D,$B2))</x:f>
        <x:v>0</x:v>
      </x:c>
      <x:c r="E2" s="5">
        <x:f>IF($A2="","",IFERROR(LOOKUP(2,1/((TeamLead_Reports!$A:$A=Dashboard!$B$2)*(TeamLead_Reports!$D:$D=$B2)),TeamLead_Reports!$V:$V),""))</x:f>
      </x:c>
      <x:c r="F2" s="5">
        <x:f>IF($A2="","",SUMIFS(TeamLead_Reports!$G:$G,TeamLead_Reports!$A:$A,Dashboard!$B$2,TeamLead_Reports!$D:$D,$B2))</x:f>
        <x:v>0</x:v>
      </x:c>
      <x:c r="G2" s="5">
        <x:f>IF($A2="","",SUMIFS(TeamLead_Reports!$H:$H,TeamLead_Reports!$A:$A,Dashboard!$B$2,TeamLead_Reports!$D:$D,$B2))</x:f>
        <x:v>0</x:v>
      </x:c>
      <x:c r="H2" s="5">
        <x:f>IF($A2="","",SUMIFS(TeamLead_Reports!$I:$I,TeamLead_Reports!$A:$A,Dashboard!$B$2,TeamLead_Reports!$D:$D,$B2))</x:f>
        <x:v>0</x:v>
      </x:c>
      <x:c r="I2" s="5">
        <x:f>IF($A2="","",SUMIFS(TeamLead_Reports!$J:$J,TeamLead_Reports!$A:$A,Dashboard!$B$2,TeamLead_Reports!$D:$D,$B2))</x:f>
        <x:v>0</x:v>
      </x:c>
      <x:c r="J2" s="5">
        <x:f>IF($A2="","",SUMIFS(TeamLead_Reports!$K:$K,TeamLead_Reports!$A:$A,Dashboard!$B$2,TeamLead_Reports!$D:$D,$B2))</x:f>
        <x:v>0</x:v>
      </x:c>
      <x:c r="K2" s="5">
        <x:f>IF($A2="","",SUMIFS(TeamLead_Reports!$L:$L,TeamLead_Reports!$A:$A,Dashboard!$B$2,TeamLead_Reports!$D:$D,$B2))</x:f>
        <x:v>0</x:v>
      </x:c>
      <x:c r="L2" s="5">
        <x:f>IF($A2="","",SUMIFS(TeamLead_Reports!$M:$M,TeamLead_Reports!$A:$A,Dashboard!$B$2,TeamLead_Reports!$D:$D,$B2))</x:f>
        <x:v>0</x:v>
      </x:c>
      <x:c r="M2" s="5">
        <x:f>IF($A2="","",SUMIFS(TeamLead_Reports!$N:$N,TeamLead_Reports!$A:$A,Dashboard!$B$2,TeamLead_Reports!$D:$D,$B2))</x:f>
        <x:v>0</x:v>
      </x:c>
      <x:c r="N2" s="5">
        <x:f>IF($A2="","",SUMIFS(TeamLead_Reports!$O:$O,TeamLead_Reports!$A:$A,Dashboard!$B$2,TeamLead_Reports!$D:$D,$B2))</x:f>
        <x:v>0</x:v>
      </x:c>
      <x:c r="O2" s="5">
        <x:f>IF($A2="","",SUMIFS(TeamLead_Reports!$P:$P,TeamLead_Reports!$A:$A,Dashboard!$B$2,TeamLead_Reports!$D:$D,$B2))</x:f>
        <x:v>0</x:v>
      </x:c>
      <x:c r="P2" s="5">
        <x:f>IF($A2="","",SUMIFS(TeamLead_Reports!$Q:$Q,TeamLead_Reports!$A:$A,Dashboard!$B$2,TeamLead_Reports!$D:$D,$B2))</x:f>
        <x:v>0</x:v>
      </x:c>
      <x:c r="Q2" s="5">
        <x:f>IF($A2="","",SUMIFS(TeamLead_Reports!$R:$R,TeamLead_Reports!$A:$A,Dashboard!$B$2,TeamLead_Reports!$D:$D,$B2))</x:f>
        <x:v>0</x:v>
      </x:c>
      <x:c r="R2" s="5">
        <x:f>IF($A2="","",SUMIFS(TeamLead_Reports!$S:$S,TeamLead_Reports!$A:$A,Dashboard!$B$2,TeamLead_Reports!$D:$D,$B2))</x:f>
        <x:v>0</x:v>
      </x:c>
    </x:row>
    <x:row r="3">
      <x:c r="A3" s="5">
        <x:f>Settings!E3</x:f>
        <x:v>0</x:v>
      </x:c>
      <x:c r="B3" s="5">
        <x:f>Settings!F3</x:f>
        <x:v>0</x:v>
      </x:c>
      <x:c r="C3" s="5">
        <x:f>Settings!G3</x:f>
        <x:v>0</x:v>
      </x:c>
      <x:c r="D3" s="5">
        <x:f>IF($A3="","",COUNTIFS(TeamLead_Reports!$A:$A,Dashboard!$B$2,TeamLead_Reports!$D:$D,$B3))</x:f>
      </x:c>
      <x:c r="E3" s="5">
        <x:f>IF($A3="","",IFERROR(LOOKUP(2,1/((TeamLead_Reports!$A:$A=Dashboard!$B$2)*(TeamLead_Reports!$D:$D=$B3)),TeamLead_Reports!$V:$V),""))</x:f>
      </x:c>
      <x:c r="F3" s="5">
        <x:f>IF($A3="","",SUMIFS(TeamLead_Reports!$G:$G,TeamLead_Reports!$A:$A,Dashboard!$B$2,TeamLead_Reports!$D:$D,$B3))</x:f>
      </x:c>
      <x:c r="G3" s="5">
        <x:f>IF($A3="","",SUMIFS(TeamLead_Reports!$H:$H,TeamLead_Reports!$A:$A,Dashboard!$B$2,TeamLead_Reports!$D:$D,$B3))</x:f>
      </x:c>
      <x:c r="H3" s="5">
        <x:f>IF($A3="","",SUMIFS(TeamLead_Reports!$I:$I,TeamLead_Reports!$A:$A,Dashboard!$B$2,TeamLead_Reports!$D:$D,$B3))</x:f>
      </x:c>
      <x:c r="I3" s="5">
        <x:f>IF($A3="","",SUMIFS(TeamLead_Reports!$J:$J,TeamLead_Reports!$A:$A,Dashboard!$B$2,TeamLead_Reports!$D:$D,$B3))</x:f>
      </x:c>
      <x:c r="J3" s="5">
        <x:f>IF($A3="","",SUMIFS(TeamLead_Reports!$K:$K,TeamLead_Reports!$A:$A,Dashboard!$B$2,TeamLead_Reports!$D:$D,$B3))</x:f>
      </x:c>
      <x:c r="K3" s="5">
        <x:f>IF($A3="","",SUMIFS(TeamLead_Reports!$L:$L,TeamLead_Reports!$A:$A,Dashboard!$B$2,TeamLead_Reports!$D:$D,$B3))</x:f>
      </x:c>
      <x:c r="L3" s="5">
        <x:f>IF($A3="","",SUMIFS(TeamLead_Reports!$M:$M,TeamLead_Reports!$A:$A,Dashboard!$B$2,TeamLead_Reports!$D:$D,$B3))</x:f>
      </x:c>
      <x:c r="M3" s="5">
        <x:f>IF($A3="","",SUMIFS(TeamLead_Reports!$N:$N,TeamLead_Reports!$A:$A,Dashboard!$B$2,TeamLead_Reports!$D:$D,$B3))</x:f>
      </x:c>
      <x:c r="N3" s="5">
        <x:f>IF($A3="","",SUMIFS(TeamLead_Reports!$O:$O,TeamLead_Reports!$A:$A,Dashboard!$B$2,TeamLead_Reports!$D:$D,$B3))</x:f>
      </x:c>
      <x:c r="O3" s="5">
        <x:f>IF($A3="","",SUMIFS(TeamLead_Reports!$P:$P,TeamLead_Reports!$A:$A,Dashboard!$B$2,TeamLead_Reports!$D:$D,$B3))</x:f>
      </x:c>
      <x:c r="P3" s="5">
        <x:f>IF($A3="","",SUMIFS(TeamLead_Reports!$Q:$Q,TeamLead_Reports!$A:$A,Dashboard!$B$2,TeamLead_Reports!$D:$D,$B3))</x:f>
      </x:c>
      <x:c r="Q3" s="5">
        <x:f>IF($A3="","",SUMIFS(TeamLead_Reports!$R:$R,TeamLead_Reports!$A:$A,Dashboard!$B$2,TeamLead_Reports!$D:$D,$B3))</x:f>
      </x:c>
      <x:c r="R3" s="5">
        <x:f>IF($A3="","",SUMIFS(TeamLead_Reports!$S:$S,TeamLead_Reports!$A:$A,Dashboard!$B$2,TeamLead_Reports!$D:$D,$B3))</x:f>
      </x:c>
    </x:row>
    <x:row r="4">
      <x:c r="A4" s="5">
        <x:f>Settings!E4</x:f>
        <x:v>0</x:v>
      </x:c>
      <x:c r="B4" s="5">
        <x:f>Settings!F4</x:f>
        <x:v>0</x:v>
      </x:c>
      <x:c r="C4" s="5">
        <x:f>Settings!G4</x:f>
        <x:v>0</x:v>
      </x:c>
      <x:c r="D4" s="5">
        <x:f>IF($A4="","",COUNTIFS(TeamLead_Reports!$A:$A,Dashboard!$B$2,TeamLead_Reports!$D:$D,$B4))</x:f>
      </x:c>
      <x:c r="E4" s="5">
        <x:f>IF($A4="","",IFERROR(LOOKUP(2,1/((TeamLead_Reports!$A:$A=Dashboard!$B$2)*(TeamLead_Reports!$D:$D=$B4)),TeamLead_Reports!$V:$V),""))</x:f>
      </x:c>
      <x:c r="F4" s="5">
        <x:f>IF($A4="","",SUMIFS(TeamLead_Reports!$G:$G,TeamLead_Reports!$A:$A,Dashboard!$B$2,TeamLead_Reports!$D:$D,$B4))</x:f>
      </x:c>
      <x:c r="G4" s="5">
        <x:f>IF($A4="","",SUMIFS(TeamLead_Reports!$H:$H,TeamLead_Reports!$A:$A,Dashboard!$B$2,TeamLead_Reports!$D:$D,$B4))</x:f>
      </x:c>
      <x:c r="H4" s="5">
        <x:f>IF($A4="","",SUMIFS(TeamLead_Reports!$I:$I,TeamLead_Reports!$A:$A,Dashboard!$B$2,TeamLead_Reports!$D:$D,$B4))</x:f>
      </x:c>
      <x:c r="I4" s="5">
        <x:f>IF($A4="","",SUMIFS(TeamLead_Reports!$J:$J,TeamLead_Reports!$A:$A,Dashboard!$B$2,TeamLead_Reports!$D:$D,$B4))</x:f>
      </x:c>
      <x:c r="J4" s="5">
        <x:f>IF($A4="","",SUMIFS(TeamLead_Reports!$K:$K,TeamLead_Reports!$A:$A,Dashboard!$B$2,TeamLead_Reports!$D:$D,$B4))</x:f>
      </x:c>
      <x:c r="K4" s="5">
        <x:f>IF($A4="","",SUMIFS(TeamLead_Reports!$L:$L,TeamLead_Reports!$A:$A,Dashboard!$B$2,TeamLead_Reports!$D:$D,$B4))</x:f>
      </x:c>
      <x:c r="L4" s="5">
        <x:f>IF($A4="","",SUMIFS(TeamLead_Reports!$M:$M,TeamLead_Reports!$A:$A,Dashboard!$B$2,TeamLead_Reports!$D:$D,$B4))</x:f>
      </x:c>
      <x:c r="M4" s="5">
        <x:f>IF($A4="","",SUMIFS(TeamLead_Reports!$N:$N,TeamLead_Reports!$A:$A,Dashboard!$B$2,TeamLead_Reports!$D:$D,$B4))</x:f>
      </x:c>
      <x:c r="N4" s="5">
        <x:f>IF($A4="","",SUMIFS(TeamLead_Reports!$O:$O,TeamLead_Reports!$A:$A,Dashboard!$B$2,TeamLead_Reports!$D:$D,$B4))</x:f>
      </x:c>
      <x:c r="O4" s="5">
        <x:f>IF($A4="","",SUMIFS(TeamLead_Reports!$P:$P,TeamLead_Reports!$A:$A,Dashboard!$B$2,TeamLead_Reports!$D:$D,$B4))</x:f>
      </x:c>
      <x:c r="P4" s="5">
        <x:f>IF($A4="","",SUMIFS(TeamLead_Reports!$Q:$Q,TeamLead_Reports!$A:$A,Dashboard!$B$2,TeamLead_Reports!$D:$D,$B4))</x:f>
      </x:c>
      <x:c r="Q4" s="5">
        <x:f>IF($A4="","",SUMIFS(TeamLead_Reports!$R:$R,TeamLead_Reports!$A:$A,Dashboard!$B$2,TeamLead_Reports!$D:$D,$B4))</x:f>
      </x:c>
      <x:c r="R4" s="5">
        <x:f>IF($A4="","",SUMIFS(TeamLead_Reports!$S:$S,TeamLead_Reports!$A:$A,Dashboard!$B$2,TeamLead_Reports!$D:$D,$B4))</x:f>
      </x:c>
    </x:row>
    <x:row r="5">
      <x:c r="A5" s="5">
        <x:f>Settings!E5</x:f>
        <x:v>0</x:v>
      </x:c>
      <x:c r="B5" s="5">
        <x:f>Settings!F5</x:f>
        <x:v>0</x:v>
      </x:c>
      <x:c r="C5" s="5">
        <x:f>Settings!G5</x:f>
        <x:v>0</x:v>
      </x:c>
      <x:c r="D5" s="5">
        <x:f>IF($A5="","",COUNTIFS(TeamLead_Reports!$A:$A,Dashboard!$B$2,TeamLead_Reports!$D:$D,$B5))</x:f>
      </x:c>
      <x:c r="E5" s="5">
        <x:f>IF($A5="","",IFERROR(LOOKUP(2,1/((TeamLead_Reports!$A:$A=Dashboard!$B$2)*(TeamLead_Reports!$D:$D=$B5)),TeamLead_Reports!$V:$V),""))</x:f>
      </x:c>
      <x:c r="F5" s="5">
        <x:f>IF($A5="","",SUMIFS(TeamLead_Reports!$G:$G,TeamLead_Reports!$A:$A,Dashboard!$B$2,TeamLead_Reports!$D:$D,$B5))</x:f>
      </x:c>
      <x:c r="G5" s="5">
        <x:f>IF($A5="","",SUMIFS(TeamLead_Reports!$H:$H,TeamLead_Reports!$A:$A,Dashboard!$B$2,TeamLead_Reports!$D:$D,$B5))</x:f>
      </x:c>
      <x:c r="H5" s="5">
        <x:f>IF($A5="","",SUMIFS(TeamLead_Reports!$I:$I,TeamLead_Reports!$A:$A,Dashboard!$B$2,TeamLead_Reports!$D:$D,$B5))</x:f>
      </x:c>
      <x:c r="I5" s="5">
        <x:f>IF($A5="","",SUMIFS(TeamLead_Reports!$J:$J,TeamLead_Reports!$A:$A,Dashboard!$B$2,TeamLead_Reports!$D:$D,$B5))</x:f>
      </x:c>
      <x:c r="J5" s="5">
        <x:f>IF($A5="","",SUMIFS(TeamLead_Reports!$K:$K,TeamLead_Reports!$A:$A,Dashboard!$B$2,TeamLead_Reports!$D:$D,$B5))</x:f>
      </x:c>
      <x:c r="K5" s="5">
        <x:f>IF($A5="","",SUMIFS(TeamLead_Reports!$L:$L,TeamLead_Reports!$A:$A,Dashboard!$B$2,TeamLead_Reports!$D:$D,$B5))</x:f>
      </x:c>
      <x:c r="L5" s="5">
        <x:f>IF($A5="","",SUMIFS(TeamLead_Reports!$M:$M,TeamLead_Reports!$A:$A,Dashboard!$B$2,TeamLead_Reports!$D:$D,$B5))</x:f>
      </x:c>
      <x:c r="M5" s="5">
        <x:f>IF($A5="","",SUMIFS(TeamLead_Reports!$N:$N,TeamLead_Reports!$A:$A,Dashboard!$B$2,TeamLead_Reports!$D:$D,$B5))</x:f>
      </x:c>
      <x:c r="N5" s="5">
        <x:f>IF($A5="","",SUMIFS(TeamLead_Reports!$O:$O,TeamLead_Reports!$A:$A,Dashboard!$B$2,TeamLead_Reports!$D:$D,$B5))</x:f>
      </x:c>
      <x:c r="O5" s="5">
        <x:f>IF($A5="","",SUMIFS(TeamLead_Reports!$P:$P,TeamLead_Reports!$A:$A,Dashboard!$B$2,TeamLead_Reports!$D:$D,$B5))</x:f>
      </x:c>
      <x:c r="P5" s="5">
        <x:f>IF($A5="","",SUMIFS(TeamLead_Reports!$Q:$Q,TeamLead_Reports!$A:$A,Dashboard!$B$2,TeamLead_Reports!$D:$D,$B5))</x:f>
      </x:c>
      <x:c r="Q5" s="5">
        <x:f>IF($A5="","",SUMIFS(TeamLead_Reports!$R:$R,TeamLead_Reports!$A:$A,Dashboard!$B$2,TeamLead_Reports!$D:$D,$B5))</x:f>
      </x:c>
      <x:c r="R5" s="5">
        <x:f>IF($A5="","",SUMIFS(TeamLead_Reports!$S:$S,TeamLead_Reports!$A:$A,Dashboard!$B$2,TeamLead_Reports!$D:$D,$B5))</x:f>
      </x:c>
    </x:row>
    <x:row r="6">
      <x:c r="A6" s="5">
        <x:f>Settings!E6</x:f>
        <x:v>0</x:v>
      </x:c>
      <x:c r="B6" s="5">
        <x:f>Settings!F6</x:f>
        <x:v>0</x:v>
      </x:c>
      <x:c r="C6" s="5">
        <x:f>Settings!G6</x:f>
        <x:v>0</x:v>
      </x:c>
      <x:c r="D6" s="5">
        <x:f>IF($A6="","",COUNTIFS(TeamLead_Reports!$A:$A,Dashboard!$B$2,TeamLead_Reports!$D:$D,$B6))</x:f>
      </x:c>
      <x:c r="E6" s="5">
        <x:f>IF($A6="","",IFERROR(LOOKUP(2,1/((TeamLead_Reports!$A:$A=Dashboard!$B$2)*(TeamLead_Reports!$D:$D=$B6)),TeamLead_Reports!$V:$V),""))</x:f>
      </x:c>
      <x:c r="F6" s="5">
        <x:f>IF($A6="","",SUMIFS(TeamLead_Reports!$G:$G,TeamLead_Reports!$A:$A,Dashboard!$B$2,TeamLead_Reports!$D:$D,$B6))</x:f>
      </x:c>
      <x:c r="G6" s="5">
        <x:f>IF($A6="","",SUMIFS(TeamLead_Reports!$H:$H,TeamLead_Reports!$A:$A,Dashboard!$B$2,TeamLead_Reports!$D:$D,$B6))</x:f>
      </x:c>
      <x:c r="H6" s="5">
        <x:f>IF($A6="","",SUMIFS(TeamLead_Reports!$I:$I,TeamLead_Reports!$A:$A,Dashboard!$B$2,TeamLead_Reports!$D:$D,$B6))</x:f>
      </x:c>
      <x:c r="I6" s="5">
        <x:f>IF($A6="","",SUMIFS(TeamLead_Reports!$J:$J,TeamLead_Reports!$A:$A,Dashboard!$B$2,TeamLead_Reports!$D:$D,$B6))</x:f>
      </x:c>
      <x:c r="J6" s="5">
        <x:f>IF($A6="","",SUMIFS(TeamLead_Reports!$K:$K,TeamLead_Reports!$A:$A,Dashboard!$B$2,TeamLead_Reports!$D:$D,$B6))</x:f>
      </x:c>
      <x:c r="K6" s="5">
        <x:f>IF($A6="","",SUMIFS(TeamLead_Reports!$L:$L,TeamLead_Reports!$A:$A,Dashboard!$B$2,TeamLead_Reports!$D:$D,$B6))</x:f>
      </x:c>
      <x:c r="L6" s="5">
        <x:f>IF($A6="","",SUMIFS(TeamLead_Reports!$M:$M,TeamLead_Reports!$A:$A,Dashboard!$B$2,TeamLead_Reports!$D:$D,$B6))</x:f>
      </x:c>
      <x:c r="M6" s="5">
        <x:f>IF($A6="","",SUMIFS(TeamLead_Reports!$N:$N,TeamLead_Reports!$A:$A,Dashboard!$B$2,TeamLead_Reports!$D:$D,$B6))</x:f>
      </x:c>
      <x:c r="N6" s="5">
        <x:f>IF($A6="","",SUMIFS(TeamLead_Reports!$O:$O,TeamLead_Reports!$A:$A,Dashboard!$B$2,TeamLead_Reports!$D:$D,$B6))</x:f>
      </x:c>
      <x:c r="O6" s="5">
        <x:f>IF($A6="","",SUMIFS(TeamLead_Reports!$P:$P,TeamLead_Reports!$A:$A,Dashboard!$B$2,TeamLead_Reports!$D:$D,$B6))</x:f>
      </x:c>
      <x:c r="P6" s="5">
        <x:f>IF($A6="","",SUMIFS(TeamLead_Reports!$Q:$Q,TeamLead_Reports!$A:$A,Dashboard!$B$2,TeamLead_Reports!$D:$D,$B6))</x:f>
      </x:c>
      <x:c r="Q6" s="5">
        <x:f>IF($A6="","",SUMIFS(TeamLead_Reports!$R:$R,TeamLead_Reports!$A:$A,Dashboard!$B$2,TeamLead_Reports!$D:$D,$B6))</x:f>
      </x:c>
      <x:c r="R6" s="5">
        <x:f>IF($A6="","",SUMIFS(TeamLead_Reports!$S:$S,TeamLead_Reports!$A:$A,Dashboard!$B$2,TeamLead_Reports!$D:$D,$B6))</x:f>
      </x:c>
    </x:row>
    <x:row r="7">
      <x:c r="A7" s="5">
        <x:f>Settings!E7</x:f>
        <x:v>0</x:v>
      </x:c>
      <x:c r="B7" s="5">
        <x:f>Settings!F7</x:f>
        <x:v>0</x:v>
      </x:c>
      <x:c r="C7" s="5">
        <x:f>Settings!G7</x:f>
        <x:v>0</x:v>
      </x:c>
      <x:c r="D7" s="5">
        <x:f>IF($A7="","",COUNTIFS(TeamLead_Reports!$A:$A,Dashboard!$B$2,TeamLead_Reports!$D:$D,$B7))</x:f>
      </x:c>
      <x:c r="E7" s="5">
        <x:f>IF($A7="","",IFERROR(LOOKUP(2,1/((TeamLead_Reports!$A:$A=Dashboard!$B$2)*(TeamLead_Reports!$D:$D=$B7)),TeamLead_Reports!$V:$V),""))</x:f>
      </x:c>
      <x:c r="F7" s="5">
        <x:f>IF($A7="","",SUMIFS(TeamLead_Reports!$G:$G,TeamLead_Reports!$A:$A,Dashboard!$B$2,TeamLead_Reports!$D:$D,$B7))</x:f>
      </x:c>
      <x:c r="G7" s="5">
        <x:f>IF($A7="","",SUMIFS(TeamLead_Reports!$H:$H,TeamLead_Reports!$A:$A,Dashboard!$B$2,TeamLead_Reports!$D:$D,$B7))</x:f>
      </x:c>
      <x:c r="H7" s="5">
        <x:f>IF($A7="","",SUMIFS(TeamLead_Reports!$I:$I,TeamLead_Reports!$A:$A,Dashboard!$B$2,TeamLead_Reports!$D:$D,$B7))</x:f>
      </x:c>
      <x:c r="I7" s="5">
        <x:f>IF($A7="","",SUMIFS(TeamLead_Reports!$J:$J,TeamLead_Reports!$A:$A,Dashboard!$B$2,TeamLead_Reports!$D:$D,$B7))</x:f>
      </x:c>
      <x:c r="J7" s="5">
        <x:f>IF($A7="","",SUMIFS(TeamLead_Reports!$K:$K,TeamLead_Reports!$A:$A,Dashboard!$B$2,TeamLead_Reports!$D:$D,$B7))</x:f>
      </x:c>
      <x:c r="K7" s="5">
        <x:f>IF($A7="","",SUMIFS(TeamLead_Reports!$L:$L,TeamLead_Reports!$A:$A,Dashboard!$B$2,TeamLead_Reports!$D:$D,$B7))</x:f>
      </x:c>
      <x:c r="L7" s="5">
        <x:f>IF($A7="","",SUMIFS(TeamLead_Reports!$M:$M,TeamLead_Reports!$A:$A,Dashboard!$B$2,TeamLead_Reports!$D:$D,$B7))</x:f>
      </x:c>
      <x:c r="M7" s="5">
        <x:f>IF($A7="","",SUMIFS(TeamLead_Reports!$N:$N,TeamLead_Reports!$A:$A,Dashboard!$B$2,TeamLead_Reports!$D:$D,$B7))</x:f>
      </x:c>
      <x:c r="N7" s="5">
        <x:f>IF($A7="","",SUMIFS(TeamLead_Reports!$O:$O,TeamLead_Reports!$A:$A,Dashboard!$B$2,TeamLead_Reports!$D:$D,$B7))</x:f>
      </x:c>
      <x:c r="O7" s="5">
        <x:f>IF($A7="","",SUMIFS(TeamLead_Reports!$P:$P,TeamLead_Reports!$A:$A,Dashboard!$B$2,TeamLead_Reports!$D:$D,$B7))</x:f>
      </x:c>
      <x:c r="P7" s="5">
        <x:f>IF($A7="","",SUMIFS(TeamLead_Reports!$Q:$Q,TeamLead_Reports!$A:$A,Dashboard!$B$2,TeamLead_Reports!$D:$D,$B7))</x:f>
      </x:c>
      <x:c r="Q7" s="5">
        <x:f>IF($A7="","",SUMIFS(TeamLead_Reports!$R:$R,TeamLead_Reports!$A:$A,Dashboard!$B$2,TeamLead_Reports!$D:$D,$B7))</x:f>
      </x:c>
      <x:c r="R7" s="5">
        <x:f>IF($A7="","",SUMIFS(TeamLead_Reports!$S:$S,TeamLead_Reports!$A:$A,Dashboard!$B$2,TeamLead_Reports!$D:$D,$B7))</x:f>
      </x:c>
    </x:row>
    <x:row r="8">
      <x:c r="A8" s="5">
        <x:f>Settings!E8</x:f>
        <x:v>0</x:v>
      </x:c>
      <x:c r="B8" s="5">
        <x:f>Settings!F8</x:f>
        <x:v>0</x:v>
      </x:c>
      <x:c r="C8" s="5">
        <x:f>Settings!G8</x:f>
        <x:v>0</x:v>
      </x:c>
      <x:c r="D8" s="5">
        <x:f>IF($A8="","",COUNTIFS(TeamLead_Reports!$A:$A,Dashboard!$B$2,TeamLead_Reports!$D:$D,$B8))</x:f>
      </x:c>
      <x:c r="E8" s="5">
        <x:f>IF($A8="","",IFERROR(LOOKUP(2,1/((TeamLead_Reports!$A:$A=Dashboard!$B$2)*(TeamLead_Reports!$D:$D=$B8)),TeamLead_Reports!$V:$V),""))</x:f>
      </x:c>
      <x:c r="F8" s="5">
        <x:f>IF($A8="","",SUMIFS(TeamLead_Reports!$G:$G,TeamLead_Reports!$A:$A,Dashboard!$B$2,TeamLead_Reports!$D:$D,$B8))</x:f>
      </x:c>
      <x:c r="G8" s="5">
        <x:f>IF($A8="","",SUMIFS(TeamLead_Reports!$H:$H,TeamLead_Reports!$A:$A,Dashboard!$B$2,TeamLead_Reports!$D:$D,$B8))</x:f>
      </x:c>
      <x:c r="H8" s="5">
        <x:f>IF($A8="","",SUMIFS(TeamLead_Reports!$I:$I,TeamLead_Reports!$A:$A,Dashboard!$B$2,TeamLead_Reports!$D:$D,$B8))</x:f>
      </x:c>
      <x:c r="I8" s="5">
        <x:f>IF($A8="","",SUMIFS(TeamLead_Reports!$J:$J,TeamLead_Reports!$A:$A,Dashboard!$B$2,TeamLead_Reports!$D:$D,$B8))</x:f>
      </x:c>
      <x:c r="J8" s="5">
        <x:f>IF($A8="","",SUMIFS(TeamLead_Reports!$K:$K,TeamLead_Reports!$A:$A,Dashboard!$B$2,TeamLead_Reports!$D:$D,$B8))</x:f>
      </x:c>
      <x:c r="K8" s="5">
        <x:f>IF($A8="","",SUMIFS(TeamLead_Reports!$L:$L,TeamLead_Reports!$A:$A,Dashboard!$B$2,TeamLead_Reports!$D:$D,$B8))</x:f>
      </x:c>
      <x:c r="L8" s="5">
        <x:f>IF($A8="","",SUMIFS(TeamLead_Reports!$M:$M,TeamLead_Reports!$A:$A,Dashboard!$B$2,TeamLead_Reports!$D:$D,$B8))</x:f>
      </x:c>
      <x:c r="M8" s="5">
        <x:f>IF($A8="","",SUMIFS(TeamLead_Reports!$N:$N,TeamLead_Reports!$A:$A,Dashboard!$B$2,TeamLead_Reports!$D:$D,$B8))</x:f>
      </x:c>
      <x:c r="N8" s="5">
        <x:f>IF($A8="","",SUMIFS(TeamLead_Reports!$O:$O,TeamLead_Reports!$A:$A,Dashboard!$B$2,TeamLead_Reports!$D:$D,$B8))</x:f>
      </x:c>
      <x:c r="O8" s="5">
        <x:f>IF($A8="","",SUMIFS(TeamLead_Reports!$P:$P,TeamLead_Reports!$A:$A,Dashboard!$B$2,TeamLead_Reports!$D:$D,$B8))</x:f>
      </x:c>
      <x:c r="P8" s="5">
        <x:f>IF($A8="","",SUMIFS(TeamLead_Reports!$Q:$Q,TeamLead_Reports!$A:$A,Dashboard!$B$2,TeamLead_Reports!$D:$D,$B8))</x:f>
      </x:c>
      <x:c r="Q8" s="5">
        <x:f>IF($A8="","",SUMIFS(TeamLead_Reports!$R:$R,TeamLead_Reports!$A:$A,Dashboard!$B$2,TeamLead_Reports!$D:$D,$B8))</x:f>
      </x:c>
      <x:c r="R8" s="5">
        <x:f>IF($A8="","",SUMIFS(TeamLead_Reports!$S:$S,TeamLead_Reports!$A:$A,Dashboard!$B$2,TeamLead_Reports!$D:$D,$B8))</x:f>
      </x:c>
    </x:row>
    <x:row r="9">
      <x:c r="A9" s="5">
        <x:f>Settings!E9</x:f>
        <x:v>0</x:v>
      </x:c>
      <x:c r="B9" s="5">
        <x:f>Settings!F9</x:f>
        <x:v>0</x:v>
      </x:c>
      <x:c r="C9" s="5">
        <x:f>Settings!G9</x:f>
        <x:v>0</x:v>
      </x:c>
      <x:c r="D9" s="5">
        <x:f>IF($A9="","",COUNTIFS(TeamLead_Reports!$A:$A,Dashboard!$B$2,TeamLead_Reports!$D:$D,$B9))</x:f>
      </x:c>
      <x:c r="E9" s="5">
        <x:f>IF($A9="","",IFERROR(LOOKUP(2,1/((TeamLead_Reports!$A:$A=Dashboard!$B$2)*(TeamLead_Reports!$D:$D=$B9)),TeamLead_Reports!$V:$V),""))</x:f>
      </x:c>
      <x:c r="F9" s="5">
        <x:f>IF($A9="","",SUMIFS(TeamLead_Reports!$G:$G,TeamLead_Reports!$A:$A,Dashboard!$B$2,TeamLead_Reports!$D:$D,$B9))</x:f>
      </x:c>
      <x:c r="G9" s="5">
        <x:f>IF($A9="","",SUMIFS(TeamLead_Reports!$H:$H,TeamLead_Reports!$A:$A,Dashboard!$B$2,TeamLead_Reports!$D:$D,$B9))</x:f>
      </x:c>
      <x:c r="H9" s="5">
        <x:f>IF($A9="","",SUMIFS(TeamLead_Reports!$I:$I,TeamLead_Reports!$A:$A,Dashboard!$B$2,TeamLead_Reports!$D:$D,$B9))</x:f>
      </x:c>
      <x:c r="I9" s="5">
        <x:f>IF($A9="","",SUMIFS(TeamLead_Reports!$J:$J,TeamLead_Reports!$A:$A,Dashboard!$B$2,TeamLead_Reports!$D:$D,$B9))</x:f>
      </x:c>
      <x:c r="J9" s="5">
        <x:f>IF($A9="","",SUMIFS(TeamLead_Reports!$K:$K,TeamLead_Reports!$A:$A,Dashboard!$B$2,TeamLead_Reports!$D:$D,$B9))</x:f>
      </x:c>
      <x:c r="K9" s="5">
        <x:f>IF($A9="","",SUMIFS(TeamLead_Reports!$L:$L,TeamLead_Reports!$A:$A,Dashboard!$B$2,TeamLead_Reports!$D:$D,$B9))</x:f>
      </x:c>
      <x:c r="L9" s="5">
        <x:f>IF($A9="","",SUMIFS(TeamLead_Reports!$M:$M,TeamLead_Reports!$A:$A,Dashboard!$B$2,TeamLead_Reports!$D:$D,$B9))</x:f>
      </x:c>
      <x:c r="M9" s="5">
        <x:f>IF($A9="","",SUMIFS(TeamLead_Reports!$N:$N,TeamLead_Reports!$A:$A,Dashboard!$B$2,TeamLead_Reports!$D:$D,$B9))</x:f>
      </x:c>
      <x:c r="N9" s="5">
        <x:f>IF($A9="","",SUMIFS(TeamLead_Reports!$O:$O,TeamLead_Reports!$A:$A,Dashboard!$B$2,TeamLead_Reports!$D:$D,$B9))</x:f>
      </x:c>
      <x:c r="O9" s="5">
        <x:f>IF($A9="","",SUMIFS(TeamLead_Reports!$P:$P,TeamLead_Reports!$A:$A,Dashboard!$B$2,TeamLead_Reports!$D:$D,$B9))</x:f>
      </x:c>
      <x:c r="P9" s="5">
        <x:f>IF($A9="","",SUMIFS(TeamLead_Reports!$Q:$Q,TeamLead_Reports!$A:$A,Dashboard!$B$2,TeamLead_Reports!$D:$D,$B9))</x:f>
      </x:c>
      <x:c r="Q9" s="5">
        <x:f>IF($A9="","",SUMIFS(TeamLead_Reports!$R:$R,TeamLead_Reports!$A:$A,Dashboard!$B$2,TeamLead_Reports!$D:$D,$B9))</x:f>
      </x:c>
      <x:c r="R9" s="5">
        <x:f>IF($A9="","",SUMIFS(TeamLead_Reports!$S:$S,TeamLead_Reports!$A:$A,Dashboard!$B$2,TeamLead_Reports!$D:$D,$B9))</x:f>
      </x:c>
    </x:row>
    <x:row r="10">
      <x:c r="A10" s="5">
        <x:f>Settings!E10</x:f>
        <x:v>0</x:v>
      </x:c>
      <x:c r="B10" s="5">
        <x:f>Settings!F10</x:f>
        <x:v>0</x:v>
      </x:c>
      <x:c r="C10" s="5">
        <x:f>Settings!G10</x:f>
        <x:v>0</x:v>
      </x:c>
      <x:c r="D10" s="5">
        <x:f>IF($A10="","",COUNTIFS(TeamLead_Reports!$A:$A,Dashboard!$B$2,TeamLead_Reports!$D:$D,$B10))</x:f>
      </x:c>
      <x:c r="E10" s="5">
        <x:f>IF($A10="","",IFERROR(LOOKUP(2,1/((TeamLead_Reports!$A:$A=Dashboard!$B$2)*(TeamLead_Reports!$D:$D=$B10)),TeamLead_Reports!$V:$V),""))</x:f>
      </x:c>
      <x:c r="F10" s="5">
        <x:f>IF($A10="","",SUMIFS(TeamLead_Reports!$G:$G,TeamLead_Reports!$A:$A,Dashboard!$B$2,TeamLead_Reports!$D:$D,$B10))</x:f>
      </x:c>
      <x:c r="G10" s="5">
        <x:f>IF($A10="","",SUMIFS(TeamLead_Reports!$H:$H,TeamLead_Reports!$A:$A,Dashboard!$B$2,TeamLead_Reports!$D:$D,$B10))</x:f>
      </x:c>
      <x:c r="H10" s="5">
        <x:f>IF($A10="","",SUMIFS(TeamLead_Reports!$I:$I,TeamLead_Reports!$A:$A,Dashboard!$B$2,TeamLead_Reports!$D:$D,$B10))</x:f>
      </x:c>
      <x:c r="I10" s="5">
        <x:f>IF($A10="","",SUMIFS(TeamLead_Reports!$J:$J,TeamLead_Reports!$A:$A,Dashboard!$B$2,TeamLead_Reports!$D:$D,$B10))</x:f>
      </x:c>
      <x:c r="J10" s="5">
        <x:f>IF($A10="","",SUMIFS(TeamLead_Reports!$K:$K,TeamLead_Reports!$A:$A,Dashboard!$B$2,TeamLead_Reports!$D:$D,$B10))</x:f>
      </x:c>
      <x:c r="K10" s="5">
        <x:f>IF($A10="","",SUMIFS(TeamLead_Reports!$L:$L,TeamLead_Reports!$A:$A,Dashboard!$B$2,TeamLead_Reports!$D:$D,$B10))</x:f>
      </x:c>
      <x:c r="L10" s="5">
        <x:f>IF($A10="","",SUMIFS(TeamLead_Reports!$M:$M,TeamLead_Reports!$A:$A,Dashboard!$B$2,TeamLead_Reports!$D:$D,$B10))</x:f>
      </x:c>
      <x:c r="M10" s="5">
        <x:f>IF($A10="","",SUMIFS(TeamLead_Reports!$N:$N,TeamLead_Reports!$A:$A,Dashboard!$B$2,TeamLead_Reports!$D:$D,$B10))</x:f>
      </x:c>
      <x:c r="N10" s="5">
        <x:f>IF($A10="","",SUMIFS(TeamLead_Reports!$O:$O,TeamLead_Reports!$A:$A,Dashboard!$B$2,TeamLead_Reports!$D:$D,$B10))</x:f>
      </x:c>
      <x:c r="O10" s="5">
        <x:f>IF($A10="","",SUMIFS(TeamLead_Reports!$P:$P,TeamLead_Reports!$A:$A,Dashboard!$B$2,TeamLead_Reports!$D:$D,$B10))</x:f>
      </x:c>
      <x:c r="P10" s="5">
        <x:f>IF($A10="","",SUMIFS(TeamLead_Reports!$Q:$Q,TeamLead_Reports!$A:$A,Dashboard!$B$2,TeamLead_Reports!$D:$D,$B10))</x:f>
      </x:c>
      <x:c r="Q10" s="5">
        <x:f>IF($A10="","",SUMIFS(TeamLead_Reports!$R:$R,TeamLead_Reports!$A:$A,Dashboard!$B$2,TeamLead_Reports!$D:$D,$B10))</x:f>
      </x:c>
      <x:c r="R10" s="5">
        <x:f>IF($A10="","",SUMIFS(TeamLead_Reports!$S:$S,TeamLead_Reports!$A:$A,Dashboard!$B$2,TeamLead_Reports!$D:$D,$B10))</x:f>
      </x:c>
    </x:row>
    <x:row r="11">
      <x:c r="A11" s="5">
        <x:f>Settings!E11</x:f>
        <x:v>0</x:v>
      </x:c>
      <x:c r="B11" s="5">
        <x:f>Settings!F11</x:f>
        <x:v>0</x:v>
      </x:c>
      <x:c r="C11" s="5">
        <x:f>Settings!G11</x:f>
        <x:v>0</x:v>
      </x:c>
      <x:c r="D11" s="5">
        <x:f>IF($A11="","",COUNTIFS(TeamLead_Reports!$A:$A,Dashboard!$B$2,TeamLead_Reports!$D:$D,$B11))</x:f>
      </x:c>
      <x:c r="E11" s="5">
        <x:f>IF($A11="","",IFERROR(LOOKUP(2,1/((TeamLead_Reports!$A:$A=Dashboard!$B$2)*(TeamLead_Reports!$D:$D=$B11)),TeamLead_Reports!$V:$V),""))</x:f>
      </x:c>
      <x:c r="F11" s="5">
        <x:f>IF($A11="","",SUMIFS(TeamLead_Reports!$G:$G,TeamLead_Reports!$A:$A,Dashboard!$B$2,TeamLead_Reports!$D:$D,$B11))</x:f>
      </x:c>
      <x:c r="G11" s="5">
        <x:f>IF($A11="","",SUMIFS(TeamLead_Reports!$H:$H,TeamLead_Reports!$A:$A,Dashboard!$B$2,TeamLead_Reports!$D:$D,$B11))</x:f>
      </x:c>
      <x:c r="H11" s="5">
        <x:f>IF($A11="","",SUMIFS(TeamLead_Reports!$I:$I,TeamLead_Reports!$A:$A,Dashboard!$B$2,TeamLead_Reports!$D:$D,$B11))</x:f>
      </x:c>
      <x:c r="I11" s="5">
        <x:f>IF($A11="","",SUMIFS(TeamLead_Reports!$J:$J,TeamLead_Reports!$A:$A,Dashboard!$B$2,TeamLead_Reports!$D:$D,$B11))</x:f>
      </x:c>
      <x:c r="J11" s="5">
        <x:f>IF($A11="","",SUMIFS(TeamLead_Reports!$K:$K,TeamLead_Reports!$A:$A,Dashboard!$B$2,TeamLead_Reports!$D:$D,$B11))</x:f>
      </x:c>
      <x:c r="K11" s="5">
        <x:f>IF($A11="","",SUMIFS(TeamLead_Reports!$L:$L,TeamLead_Reports!$A:$A,Dashboard!$B$2,TeamLead_Reports!$D:$D,$B11))</x:f>
      </x:c>
      <x:c r="L11" s="5">
        <x:f>IF($A11="","",SUMIFS(TeamLead_Reports!$M:$M,TeamLead_Reports!$A:$A,Dashboard!$B$2,TeamLead_Reports!$D:$D,$B11))</x:f>
      </x:c>
      <x:c r="M11" s="5">
        <x:f>IF($A11="","",SUMIFS(TeamLead_Reports!$N:$N,TeamLead_Reports!$A:$A,Dashboard!$B$2,TeamLead_Reports!$D:$D,$B11))</x:f>
      </x:c>
      <x:c r="N11" s="5">
        <x:f>IF($A11="","",SUMIFS(TeamLead_Reports!$O:$O,TeamLead_Reports!$A:$A,Dashboard!$B$2,TeamLead_Reports!$D:$D,$B11))</x:f>
      </x:c>
      <x:c r="O11" s="5">
        <x:f>IF($A11="","",SUMIFS(TeamLead_Reports!$P:$P,TeamLead_Reports!$A:$A,Dashboard!$B$2,TeamLead_Reports!$D:$D,$B11))</x:f>
      </x:c>
      <x:c r="P11" s="5">
        <x:f>IF($A11="","",SUMIFS(TeamLead_Reports!$Q:$Q,TeamLead_Reports!$A:$A,Dashboard!$B$2,TeamLead_Reports!$D:$D,$B11))</x:f>
      </x:c>
      <x:c r="Q11" s="5">
        <x:f>IF($A11="","",SUMIFS(TeamLead_Reports!$R:$R,TeamLead_Reports!$A:$A,Dashboard!$B$2,TeamLead_Reports!$D:$D,$B11))</x:f>
      </x:c>
      <x:c r="R11" s="5">
        <x:f>IF($A11="","",SUMIFS(TeamLead_Reports!$S:$S,TeamLead_Reports!$A:$A,Dashboard!$B$2,TeamLead_Reports!$D:$D,$B11))</x:f>
      </x:c>
    </x:row>
    <x:row r="12">
      <x:c r="A12" s="5">
        <x:f>Settings!E12</x:f>
        <x:v>0</x:v>
      </x:c>
      <x:c r="B12" s="5">
        <x:f>Settings!F12</x:f>
        <x:v>0</x:v>
      </x:c>
      <x:c r="C12" s="5">
        <x:f>Settings!G12</x:f>
        <x:v>0</x:v>
      </x:c>
      <x:c r="D12" s="5">
        <x:f>IF($A12="","",COUNTIFS(TeamLead_Reports!$A:$A,Dashboard!$B$2,TeamLead_Reports!$D:$D,$B12))</x:f>
      </x:c>
      <x:c r="E12" s="5">
        <x:f>IF($A12="","",IFERROR(LOOKUP(2,1/((TeamLead_Reports!$A:$A=Dashboard!$B$2)*(TeamLead_Reports!$D:$D=$B12)),TeamLead_Reports!$V:$V),""))</x:f>
      </x:c>
      <x:c r="F12" s="5">
        <x:f>IF($A12="","",SUMIFS(TeamLead_Reports!$G:$G,TeamLead_Reports!$A:$A,Dashboard!$B$2,TeamLead_Reports!$D:$D,$B12))</x:f>
      </x:c>
      <x:c r="G12" s="5">
        <x:f>IF($A12="","",SUMIFS(TeamLead_Reports!$H:$H,TeamLead_Reports!$A:$A,Dashboard!$B$2,TeamLead_Reports!$D:$D,$B12))</x:f>
      </x:c>
      <x:c r="H12" s="5">
        <x:f>IF($A12="","",SUMIFS(TeamLead_Reports!$I:$I,TeamLead_Reports!$A:$A,Dashboard!$B$2,TeamLead_Reports!$D:$D,$B12))</x:f>
      </x:c>
      <x:c r="I12" s="5">
        <x:f>IF($A12="","",SUMIFS(TeamLead_Reports!$J:$J,TeamLead_Reports!$A:$A,Dashboard!$B$2,TeamLead_Reports!$D:$D,$B12))</x:f>
      </x:c>
      <x:c r="J12" s="5">
        <x:f>IF($A12="","",SUMIFS(TeamLead_Reports!$K:$K,TeamLead_Reports!$A:$A,Dashboard!$B$2,TeamLead_Reports!$D:$D,$B12))</x:f>
      </x:c>
      <x:c r="K12" s="5">
        <x:f>IF($A12="","",SUMIFS(TeamLead_Reports!$L:$L,TeamLead_Reports!$A:$A,Dashboard!$B$2,TeamLead_Reports!$D:$D,$B12))</x:f>
      </x:c>
      <x:c r="L12" s="5">
        <x:f>IF($A12="","",SUMIFS(TeamLead_Reports!$M:$M,TeamLead_Reports!$A:$A,Dashboard!$B$2,TeamLead_Reports!$D:$D,$B12))</x:f>
      </x:c>
      <x:c r="M12" s="5">
        <x:f>IF($A12="","",SUMIFS(TeamLead_Reports!$N:$N,TeamLead_Reports!$A:$A,Dashboard!$B$2,TeamLead_Reports!$D:$D,$B12))</x:f>
      </x:c>
      <x:c r="N12" s="5">
        <x:f>IF($A12="","",SUMIFS(TeamLead_Reports!$O:$O,TeamLead_Reports!$A:$A,Dashboard!$B$2,TeamLead_Reports!$D:$D,$B12))</x:f>
      </x:c>
      <x:c r="O12" s="5">
        <x:f>IF($A12="","",SUMIFS(TeamLead_Reports!$P:$P,TeamLead_Reports!$A:$A,Dashboard!$B$2,TeamLead_Reports!$D:$D,$B12))</x:f>
      </x:c>
      <x:c r="P12" s="5">
        <x:f>IF($A12="","",SUMIFS(TeamLead_Reports!$Q:$Q,TeamLead_Reports!$A:$A,Dashboard!$B$2,TeamLead_Reports!$D:$D,$B12))</x:f>
      </x:c>
      <x:c r="Q12" s="5">
        <x:f>IF($A12="","",SUMIFS(TeamLead_Reports!$R:$R,TeamLead_Reports!$A:$A,Dashboard!$B$2,TeamLead_Reports!$D:$D,$B12))</x:f>
      </x:c>
      <x:c r="R12" s="5">
        <x:f>IF($A12="","",SUMIFS(TeamLead_Reports!$S:$S,TeamLead_Reports!$A:$A,Dashboard!$B$2,TeamLead_Reports!$D:$D,$B12))</x:f>
      </x:c>
    </x:row>
    <x:row r="13">
      <x:c r="A13" s="5">
        <x:f>Settings!E13</x:f>
        <x:v>0</x:v>
      </x:c>
      <x:c r="B13" s="5">
        <x:f>Settings!F13</x:f>
        <x:v>0</x:v>
      </x:c>
      <x:c r="C13" s="5">
        <x:f>Settings!G13</x:f>
        <x:v>0</x:v>
      </x:c>
      <x:c r="D13" s="5">
        <x:f>IF($A13="","",COUNTIFS(TeamLead_Reports!$A:$A,Dashboard!$B$2,TeamLead_Reports!$D:$D,$B13))</x:f>
      </x:c>
      <x:c r="E13" s="5">
        <x:f>IF($A13="","",IFERROR(LOOKUP(2,1/((TeamLead_Reports!$A:$A=Dashboard!$B$2)*(TeamLead_Reports!$D:$D=$B13)),TeamLead_Reports!$V:$V),""))</x:f>
      </x:c>
      <x:c r="F13" s="5">
        <x:f>IF($A13="","",SUMIFS(TeamLead_Reports!$G:$G,TeamLead_Reports!$A:$A,Dashboard!$B$2,TeamLead_Reports!$D:$D,$B13))</x:f>
      </x:c>
      <x:c r="G13" s="5">
        <x:f>IF($A13="","",SUMIFS(TeamLead_Reports!$H:$H,TeamLead_Reports!$A:$A,Dashboard!$B$2,TeamLead_Reports!$D:$D,$B13))</x:f>
      </x:c>
      <x:c r="H13" s="5">
        <x:f>IF($A13="","",SUMIFS(TeamLead_Reports!$I:$I,TeamLead_Reports!$A:$A,Dashboard!$B$2,TeamLead_Reports!$D:$D,$B13))</x:f>
      </x:c>
      <x:c r="I13" s="5">
        <x:f>IF($A13="","",SUMIFS(TeamLead_Reports!$J:$J,TeamLead_Reports!$A:$A,Dashboard!$B$2,TeamLead_Reports!$D:$D,$B13))</x:f>
      </x:c>
      <x:c r="J13" s="5">
        <x:f>IF($A13="","",SUMIFS(TeamLead_Reports!$K:$K,TeamLead_Reports!$A:$A,Dashboard!$B$2,TeamLead_Reports!$D:$D,$B13))</x:f>
      </x:c>
      <x:c r="K13" s="5">
        <x:f>IF($A13="","",SUMIFS(TeamLead_Reports!$L:$L,TeamLead_Reports!$A:$A,Dashboard!$B$2,TeamLead_Reports!$D:$D,$B13))</x:f>
      </x:c>
      <x:c r="L13" s="5">
        <x:f>IF($A13="","",SUMIFS(TeamLead_Reports!$M:$M,TeamLead_Reports!$A:$A,Dashboard!$B$2,TeamLead_Reports!$D:$D,$B13))</x:f>
      </x:c>
      <x:c r="M13" s="5">
        <x:f>IF($A13="","",SUMIFS(TeamLead_Reports!$N:$N,TeamLead_Reports!$A:$A,Dashboard!$B$2,TeamLead_Reports!$D:$D,$B13))</x:f>
      </x:c>
      <x:c r="N13" s="5">
        <x:f>IF($A13="","",SUMIFS(TeamLead_Reports!$O:$O,TeamLead_Reports!$A:$A,Dashboard!$B$2,TeamLead_Reports!$D:$D,$B13))</x:f>
      </x:c>
      <x:c r="O13" s="5">
        <x:f>IF($A13="","",SUMIFS(TeamLead_Reports!$P:$P,TeamLead_Reports!$A:$A,Dashboard!$B$2,TeamLead_Reports!$D:$D,$B13))</x:f>
      </x:c>
      <x:c r="P13" s="5">
        <x:f>IF($A13="","",SUMIFS(TeamLead_Reports!$Q:$Q,TeamLead_Reports!$A:$A,Dashboard!$B$2,TeamLead_Reports!$D:$D,$B13))</x:f>
      </x:c>
      <x:c r="Q13" s="5">
        <x:f>IF($A13="","",SUMIFS(TeamLead_Reports!$R:$R,TeamLead_Reports!$A:$A,Dashboard!$B$2,TeamLead_Reports!$D:$D,$B13))</x:f>
      </x:c>
      <x:c r="R13" s="5">
        <x:f>IF($A13="","",SUMIFS(TeamLead_Reports!$S:$S,TeamLead_Reports!$A:$A,Dashboard!$B$2,TeamLead_Reports!$D:$D,$B13))</x:f>
      </x:c>
    </x:row>
    <x:row r="14">
      <x:c r="A14" s="5">
        <x:f>Settings!E14</x:f>
        <x:v>0</x:v>
      </x:c>
      <x:c r="B14" s="5">
        <x:f>Settings!F14</x:f>
        <x:v>0</x:v>
      </x:c>
      <x:c r="C14" s="5">
        <x:f>Settings!G14</x:f>
        <x:v>0</x:v>
      </x:c>
      <x:c r="D14" s="5">
        <x:f>IF($A14="","",COUNTIFS(TeamLead_Reports!$A:$A,Dashboard!$B$2,TeamLead_Reports!$D:$D,$B14))</x:f>
      </x:c>
      <x:c r="E14" s="5">
        <x:f>IF($A14="","",IFERROR(LOOKUP(2,1/((TeamLead_Reports!$A:$A=Dashboard!$B$2)*(TeamLead_Reports!$D:$D=$B14)),TeamLead_Reports!$V:$V),""))</x:f>
      </x:c>
      <x:c r="F14" s="5">
        <x:f>IF($A14="","",SUMIFS(TeamLead_Reports!$G:$G,TeamLead_Reports!$A:$A,Dashboard!$B$2,TeamLead_Reports!$D:$D,$B14))</x:f>
      </x:c>
      <x:c r="G14" s="5">
        <x:f>IF($A14="","",SUMIFS(TeamLead_Reports!$H:$H,TeamLead_Reports!$A:$A,Dashboard!$B$2,TeamLead_Reports!$D:$D,$B14))</x:f>
      </x:c>
      <x:c r="H14" s="5">
        <x:f>IF($A14="","",SUMIFS(TeamLead_Reports!$I:$I,TeamLead_Reports!$A:$A,Dashboard!$B$2,TeamLead_Reports!$D:$D,$B14))</x:f>
      </x:c>
      <x:c r="I14" s="5">
        <x:f>IF($A14="","",SUMIFS(TeamLead_Reports!$J:$J,TeamLead_Reports!$A:$A,Dashboard!$B$2,TeamLead_Reports!$D:$D,$B14))</x:f>
      </x:c>
      <x:c r="J14" s="5">
        <x:f>IF($A14="","",SUMIFS(TeamLead_Reports!$K:$K,TeamLead_Reports!$A:$A,Dashboard!$B$2,TeamLead_Reports!$D:$D,$B14))</x:f>
      </x:c>
      <x:c r="K14" s="5">
        <x:f>IF($A14="","",SUMIFS(TeamLead_Reports!$L:$L,TeamLead_Reports!$A:$A,Dashboard!$B$2,TeamLead_Reports!$D:$D,$B14))</x:f>
      </x:c>
      <x:c r="L14" s="5">
        <x:f>IF($A14="","",SUMIFS(TeamLead_Reports!$M:$M,TeamLead_Reports!$A:$A,Dashboard!$B$2,TeamLead_Reports!$D:$D,$B14))</x:f>
      </x:c>
      <x:c r="M14" s="5">
        <x:f>IF($A14="","",SUMIFS(TeamLead_Reports!$N:$N,TeamLead_Reports!$A:$A,Dashboard!$B$2,TeamLead_Reports!$D:$D,$B14))</x:f>
      </x:c>
      <x:c r="N14" s="5">
        <x:f>IF($A14="","",SUMIFS(TeamLead_Reports!$O:$O,TeamLead_Reports!$A:$A,Dashboard!$B$2,TeamLead_Reports!$D:$D,$B14))</x:f>
      </x:c>
      <x:c r="O14" s="5">
        <x:f>IF($A14="","",SUMIFS(TeamLead_Reports!$P:$P,TeamLead_Reports!$A:$A,Dashboard!$B$2,TeamLead_Reports!$D:$D,$B14))</x:f>
      </x:c>
      <x:c r="P14" s="5">
        <x:f>IF($A14="","",SUMIFS(TeamLead_Reports!$Q:$Q,TeamLead_Reports!$A:$A,Dashboard!$B$2,TeamLead_Reports!$D:$D,$B14))</x:f>
      </x:c>
      <x:c r="Q14" s="5">
        <x:f>IF($A14="","",SUMIFS(TeamLead_Reports!$R:$R,TeamLead_Reports!$A:$A,Dashboard!$B$2,TeamLead_Reports!$D:$D,$B14))</x:f>
      </x:c>
      <x:c r="R14" s="5">
        <x:f>IF($A14="","",SUMIFS(TeamLead_Reports!$S:$S,TeamLead_Reports!$A:$A,Dashboard!$B$2,TeamLead_Reports!$D:$D,$B14))</x:f>
      </x:c>
    </x:row>
    <x:row r="15">
      <x:c r="A15" s="5">
        <x:f>Settings!E15</x:f>
        <x:v>0</x:v>
      </x:c>
      <x:c r="B15" s="5">
        <x:f>Settings!F15</x:f>
        <x:v>0</x:v>
      </x:c>
      <x:c r="C15" s="5">
        <x:f>Settings!G15</x:f>
        <x:v>0</x:v>
      </x:c>
      <x:c r="D15" s="5">
        <x:f>IF($A15="","",COUNTIFS(TeamLead_Reports!$A:$A,Dashboard!$B$2,TeamLead_Reports!$D:$D,$B15))</x:f>
      </x:c>
      <x:c r="E15" s="5">
        <x:f>IF($A15="","",IFERROR(LOOKUP(2,1/((TeamLead_Reports!$A:$A=Dashboard!$B$2)*(TeamLead_Reports!$D:$D=$B15)),TeamLead_Reports!$V:$V),""))</x:f>
      </x:c>
      <x:c r="F15" s="5">
        <x:f>IF($A15="","",SUMIFS(TeamLead_Reports!$G:$G,TeamLead_Reports!$A:$A,Dashboard!$B$2,TeamLead_Reports!$D:$D,$B15))</x:f>
      </x:c>
      <x:c r="G15" s="5">
        <x:f>IF($A15="","",SUMIFS(TeamLead_Reports!$H:$H,TeamLead_Reports!$A:$A,Dashboard!$B$2,TeamLead_Reports!$D:$D,$B15))</x:f>
      </x:c>
      <x:c r="H15" s="5">
        <x:f>IF($A15="","",SUMIFS(TeamLead_Reports!$I:$I,TeamLead_Reports!$A:$A,Dashboard!$B$2,TeamLead_Reports!$D:$D,$B15))</x:f>
      </x:c>
      <x:c r="I15" s="5">
        <x:f>IF($A15="","",SUMIFS(TeamLead_Reports!$J:$J,TeamLead_Reports!$A:$A,Dashboard!$B$2,TeamLead_Reports!$D:$D,$B15))</x:f>
      </x:c>
      <x:c r="J15" s="5">
        <x:f>IF($A15="","",SUMIFS(TeamLead_Reports!$K:$K,TeamLead_Reports!$A:$A,Dashboard!$B$2,TeamLead_Reports!$D:$D,$B15))</x:f>
      </x:c>
      <x:c r="K15" s="5">
        <x:f>IF($A15="","",SUMIFS(TeamLead_Reports!$L:$L,TeamLead_Reports!$A:$A,Dashboard!$B$2,TeamLead_Reports!$D:$D,$B15))</x:f>
      </x:c>
      <x:c r="L15" s="5">
        <x:f>IF($A15="","",SUMIFS(TeamLead_Reports!$M:$M,TeamLead_Reports!$A:$A,Dashboard!$B$2,TeamLead_Reports!$D:$D,$B15))</x:f>
      </x:c>
      <x:c r="M15" s="5">
        <x:f>IF($A15="","",SUMIFS(TeamLead_Reports!$N:$N,TeamLead_Reports!$A:$A,Dashboard!$B$2,TeamLead_Reports!$D:$D,$B15))</x:f>
      </x:c>
      <x:c r="N15" s="5">
        <x:f>IF($A15="","",SUMIFS(TeamLead_Reports!$O:$O,TeamLead_Reports!$A:$A,Dashboard!$B$2,TeamLead_Reports!$D:$D,$B15))</x:f>
      </x:c>
      <x:c r="O15" s="5">
        <x:f>IF($A15="","",SUMIFS(TeamLead_Reports!$P:$P,TeamLead_Reports!$A:$A,Dashboard!$B$2,TeamLead_Reports!$D:$D,$B15))</x:f>
      </x:c>
      <x:c r="P15" s="5">
        <x:f>IF($A15="","",SUMIFS(TeamLead_Reports!$Q:$Q,TeamLead_Reports!$A:$A,Dashboard!$B$2,TeamLead_Reports!$D:$D,$B15))</x:f>
      </x:c>
      <x:c r="Q15" s="5">
        <x:f>IF($A15="","",SUMIFS(TeamLead_Reports!$R:$R,TeamLead_Reports!$A:$A,Dashboard!$B$2,TeamLead_Reports!$D:$D,$B15))</x:f>
      </x:c>
      <x:c r="R15" s="5">
        <x:f>IF($A15="","",SUMIFS(TeamLead_Reports!$S:$S,TeamLead_Reports!$A:$A,Dashboard!$B$2,TeamLead_Reports!$D:$D,$B15))</x:f>
      </x:c>
    </x:row>
    <x:row r="16">
      <x:c r="A16" s="5">
        <x:f>Settings!E16</x:f>
        <x:v>0</x:v>
      </x:c>
      <x:c r="B16" s="5">
        <x:f>Settings!F16</x:f>
        <x:v>0</x:v>
      </x:c>
      <x:c r="C16" s="5">
        <x:f>Settings!G16</x:f>
        <x:v>0</x:v>
      </x:c>
      <x:c r="D16" s="5">
        <x:f>IF($A16="","",COUNTIFS(TeamLead_Reports!$A:$A,Dashboard!$B$2,TeamLead_Reports!$D:$D,$B16))</x:f>
      </x:c>
      <x:c r="E16" s="5">
        <x:f>IF($A16="","",IFERROR(LOOKUP(2,1/((TeamLead_Reports!$A:$A=Dashboard!$B$2)*(TeamLead_Reports!$D:$D=$B16)),TeamLead_Reports!$V:$V),""))</x:f>
      </x:c>
      <x:c r="F16" s="5">
        <x:f>IF($A16="","",SUMIFS(TeamLead_Reports!$G:$G,TeamLead_Reports!$A:$A,Dashboard!$B$2,TeamLead_Reports!$D:$D,$B16))</x:f>
      </x:c>
      <x:c r="G16" s="5">
        <x:f>IF($A16="","",SUMIFS(TeamLead_Reports!$H:$H,TeamLead_Reports!$A:$A,Dashboard!$B$2,TeamLead_Reports!$D:$D,$B16))</x:f>
      </x:c>
      <x:c r="H16" s="5">
        <x:f>IF($A16="","",SUMIFS(TeamLead_Reports!$I:$I,TeamLead_Reports!$A:$A,Dashboard!$B$2,TeamLead_Reports!$D:$D,$B16))</x:f>
      </x:c>
      <x:c r="I16" s="5">
        <x:f>IF($A16="","",SUMIFS(TeamLead_Reports!$J:$J,TeamLead_Reports!$A:$A,Dashboard!$B$2,TeamLead_Reports!$D:$D,$B16))</x:f>
      </x:c>
      <x:c r="J16" s="5">
        <x:f>IF($A16="","",SUMIFS(TeamLead_Reports!$K:$K,TeamLead_Reports!$A:$A,Dashboard!$B$2,TeamLead_Reports!$D:$D,$B16))</x:f>
      </x:c>
      <x:c r="K16" s="5">
        <x:f>IF($A16="","",SUMIFS(TeamLead_Reports!$L:$L,TeamLead_Reports!$A:$A,Dashboard!$B$2,TeamLead_Reports!$D:$D,$B16))</x:f>
      </x:c>
      <x:c r="L16" s="5">
        <x:f>IF($A16="","",SUMIFS(TeamLead_Reports!$M:$M,TeamLead_Reports!$A:$A,Dashboard!$B$2,TeamLead_Reports!$D:$D,$B16))</x:f>
      </x:c>
      <x:c r="M16" s="5">
        <x:f>IF($A16="","",SUMIFS(TeamLead_Reports!$N:$N,TeamLead_Reports!$A:$A,Dashboard!$B$2,TeamLead_Reports!$D:$D,$B16))</x:f>
      </x:c>
      <x:c r="N16" s="5">
        <x:f>IF($A16="","",SUMIFS(TeamLead_Reports!$O:$O,TeamLead_Reports!$A:$A,Dashboard!$B$2,TeamLead_Reports!$D:$D,$B16))</x:f>
      </x:c>
      <x:c r="O16" s="5">
        <x:f>IF($A16="","",SUMIFS(TeamLead_Reports!$P:$P,TeamLead_Reports!$A:$A,Dashboard!$B$2,TeamLead_Reports!$D:$D,$B16))</x:f>
      </x:c>
      <x:c r="P16" s="5">
        <x:f>IF($A16="","",SUMIFS(TeamLead_Reports!$Q:$Q,TeamLead_Reports!$A:$A,Dashboard!$B$2,TeamLead_Reports!$D:$D,$B16))</x:f>
      </x:c>
      <x:c r="Q16" s="5">
        <x:f>IF($A16="","",SUMIFS(TeamLead_Reports!$R:$R,TeamLead_Reports!$A:$A,Dashboard!$B$2,TeamLead_Reports!$D:$D,$B16))</x:f>
      </x:c>
      <x:c r="R16" s="5">
        <x:f>IF($A16="","",SUMIFS(TeamLead_Reports!$S:$S,TeamLead_Reports!$A:$A,Dashboard!$B$2,TeamLead_Reports!$D:$D,$B16))</x:f>
      </x:c>
    </x:row>
    <x:row r="17">
      <x:c r="A17" s="5">
        <x:f>Settings!E17</x:f>
        <x:v>0</x:v>
      </x:c>
      <x:c r="B17" s="5">
        <x:f>Settings!F17</x:f>
        <x:v>0</x:v>
      </x:c>
      <x:c r="C17" s="5">
        <x:f>Settings!G17</x:f>
        <x:v>0</x:v>
      </x:c>
      <x:c r="D17" s="5">
        <x:f>IF($A17="","",COUNTIFS(TeamLead_Reports!$A:$A,Dashboard!$B$2,TeamLead_Reports!$D:$D,$B17))</x:f>
      </x:c>
      <x:c r="E17" s="5">
        <x:f>IF($A17="","",IFERROR(LOOKUP(2,1/((TeamLead_Reports!$A:$A=Dashboard!$B$2)*(TeamLead_Reports!$D:$D=$B17)),TeamLead_Reports!$V:$V),""))</x:f>
      </x:c>
      <x:c r="F17" s="5">
        <x:f>IF($A17="","",SUMIFS(TeamLead_Reports!$G:$G,TeamLead_Reports!$A:$A,Dashboard!$B$2,TeamLead_Reports!$D:$D,$B17))</x:f>
      </x:c>
      <x:c r="G17" s="5">
        <x:f>IF($A17="","",SUMIFS(TeamLead_Reports!$H:$H,TeamLead_Reports!$A:$A,Dashboard!$B$2,TeamLead_Reports!$D:$D,$B17))</x:f>
      </x:c>
      <x:c r="H17" s="5">
        <x:f>IF($A17="","",SUMIFS(TeamLead_Reports!$I:$I,TeamLead_Reports!$A:$A,Dashboard!$B$2,TeamLead_Reports!$D:$D,$B17))</x:f>
      </x:c>
      <x:c r="I17" s="5">
        <x:f>IF($A17="","",SUMIFS(TeamLead_Reports!$J:$J,TeamLead_Reports!$A:$A,Dashboard!$B$2,TeamLead_Reports!$D:$D,$B17))</x:f>
      </x:c>
      <x:c r="J17" s="5">
        <x:f>IF($A17="","",SUMIFS(TeamLead_Reports!$K:$K,TeamLead_Reports!$A:$A,Dashboard!$B$2,TeamLead_Reports!$D:$D,$B17))</x:f>
      </x:c>
      <x:c r="K17" s="5">
        <x:f>IF($A17="","",SUMIFS(TeamLead_Reports!$L:$L,TeamLead_Reports!$A:$A,Dashboard!$B$2,TeamLead_Reports!$D:$D,$B17))</x:f>
      </x:c>
      <x:c r="L17" s="5">
        <x:f>IF($A17="","",SUMIFS(TeamLead_Reports!$M:$M,TeamLead_Reports!$A:$A,Dashboard!$B$2,TeamLead_Reports!$D:$D,$B17))</x:f>
      </x:c>
      <x:c r="M17" s="5">
        <x:f>IF($A17="","",SUMIFS(TeamLead_Reports!$N:$N,TeamLead_Reports!$A:$A,Dashboard!$B$2,TeamLead_Reports!$D:$D,$B17))</x:f>
      </x:c>
      <x:c r="N17" s="5">
        <x:f>IF($A17="","",SUMIFS(TeamLead_Reports!$O:$O,TeamLead_Reports!$A:$A,Dashboard!$B$2,TeamLead_Reports!$D:$D,$B17))</x:f>
      </x:c>
      <x:c r="O17" s="5">
        <x:f>IF($A17="","",SUMIFS(TeamLead_Reports!$P:$P,TeamLead_Reports!$A:$A,Dashboard!$B$2,TeamLead_Reports!$D:$D,$B17))</x:f>
      </x:c>
      <x:c r="P17" s="5">
        <x:f>IF($A17="","",SUMIFS(TeamLead_Reports!$Q:$Q,TeamLead_Reports!$A:$A,Dashboard!$B$2,TeamLead_Reports!$D:$D,$B17))</x:f>
      </x:c>
      <x:c r="Q17" s="5">
        <x:f>IF($A17="","",SUMIFS(TeamLead_Reports!$R:$R,TeamLead_Reports!$A:$A,Dashboard!$B$2,TeamLead_Reports!$D:$D,$B17))</x:f>
      </x:c>
      <x:c r="R17" s="5">
        <x:f>IF($A17="","",SUMIFS(TeamLead_Reports!$S:$S,TeamLead_Reports!$A:$A,Dashboard!$B$2,TeamLead_Reports!$D:$D,$B17))</x:f>
      </x:c>
    </x:row>
    <x:row r="18">
      <x:c r="A18" s="5">
        <x:f>Settings!E18</x:f>
        <x:v>0</x:v>
      </x:c>
      <x:c r="B18" s="5">
        <x:f>Settings!F18</x:f>
        <x:v>0</x:v>
      </x:c>
      <x:c r="C18" s="5">
        <x:f>Settings!G18</x:f>
        <x:v>0</x:v>
      </x:c>
      <x:c r="D18" s="5">
        <x:f>IF($A18="","",COUNTIFS(TeamLead_Reports!$A:$A,Dashboard!$B$2,TeamLead_Reports!$D:$D,$B18))</x:f>
      </x:c>
      <x:c r="E18" s="5">
        <x:f>IF($A18="","",IFERROR(LOOKUP(2,1/((TeamLead_Reports!$A:$A=Dashboard!$B$2)*(TeamLead_Reports!$D:$D=$B18)),TeamLead_Reports!$V:$V),""))</x:f>
      </x:c>
      <x:c r="F18" s="5">
        <x:f>IF($A18="","",SUMIFS(TeamLead_Reports!$G:$G,TeamLead_Reports!$A:$A,Dashboard!$B$2,TeamLead_Reports!$D:$D,$B18))</x:f>
      </x:c>
      <x:c r="G18" s="5">
        <x:f>IF($A18="","",SUMIFS(TeamLead_Reports!$H:$H,TeamLead_Reports!$A:$A,Dashboard!$B$2,TeamLead_Reports!$D:$D,$B18))</x:f>
      </x:c>
      <x:c r="H18" s="5">
        <x:f>IF($A18="","",SUMIFS(TeamLead_Reports!$I:$I,TeamLead_Reports!$A:$A,Dashboard!$B$2,TeamLead_Reports!$D:$D,$B18))</x:f>
      </x:c>
      <x:c r="I18" s="5">
        <x:f>IF($A18="","",SUMIFS(TeamLead_Reports!$J:$J,TeamLead_Reports!$A:$A,Dashboard!$B$2,TeamLead_Reports!$D:$D,$B18))</x:f>
      </x:c>
      <x:c r="J18" s="5">
        <x:f>IF($A18="","",SUMIFS(TeamLead_Reports!$K:$K,TeamLead_Reports!$A:$A,Dashboard!$B$2,TeamLead_Reports!$D:$D,$B18))</x:f>
      </x:c>
      <x:c r="K18" s="5">
        <x:f>IF($A18="","",SUMIFS(TeamLead_Reports!$L:$L,TeamLead_Reports!$A:$A,Dashboard!$B$2,TeamLead_Reports!$D:$D,$B18))</x:f>
      </x:c>
      <x:c r="L18" s="5">
        <x:f>IF($A18="","",SUMIFS(TeamLead_Reports!$M:$M,TeamLead_Reports!$A:$A,Dashboard!$B$2,TeamLead_Reports!$D:$D,$B18))</x:f>
      </x:c>
      <x:c r="M18" s="5">
        <x:f>IF($A18="","",SUMIFS(TeamLead_Reports!$N:$N,TeamLead_Reports!$A:$A,Dashboard!$B$2,TeamLead_Reports!$D:$D,$B18))</x:f>
      </x:c>
      <x:c r="N18" s="5">
        <x:f>IF($A18="","",SUMIFS(TeamLead_Reports!$O:$O,TeamLead_Reports!$A:$A,Dashboard!$B$2,TeamLead_Reports!$D:$D,$B18))</x:f>
      </x:c>
      <x:c r="O18" s="5">
        <x:f>IF($A18="","",SUMIFS(TeamLead_Reports!$P:$P,TeamLead_Reports!$A:$A,Dashboard!$B$2,TeamLead_Reports!$D:$D,$B18))</x:f>
      </x:c>
      <x:c r="P18" s="5">
        <x:f>IF($A18="","",SUMIFS(TeamLead_Reports!$Q:$Q,TeamLead_Reports!$A:$A,Dashboard!$B$2,TeamLead_Reports!$D:$D,$B18))</x:f>
      </x:c>
      <x:c r="Q18" s="5">
        <x:f>IF($A18="","",SUMIFS(TeamLead_Reports!$R:$R,TeamLead_Reports!$A:$A,Dashboard!$B$2,TeamLead_Reports!$D:$D,$B18))</x:f>
      </x:c>
      <x:c r="R18" s="5">
        <x:f>IF($A18="","",SUMIFS(TeamLead_Reports!$S:$S,TeamLead_Reports!$A:$A,Dashboard!$B$2,TeamLead_Reports!$D:$D,$B18))</x:f>
      </x:c>
    </x:row>
    <x:row r="19">
      <x:c r="A19" s="5">
        <x:f>Settings!E19</x:f>
        <x:v>0</x:v>
      </x:c>
      <x:c r="B19" s="5">
        <x:f>Settings!F19</x:f>
        <x:v>0</x:v>
      </x:c>
      <x:c r="C19" s="5">
        <x:f>Settings!G19</x:f>
        <x:v>0</x:v>
      </x:c>
      <x:c r="D19" s="5">
        <x:f>IF($A19="","",COUNTIFS(TeamLead_Reports!$A:$A,Dashboard!$B$2,TeamLead_Reports!$D:$D,$B19))</x:f>
      </x:c>
      <x:c r="E19" s="5">
        <x:f>IF($A19="","",IFERROR(LOOKUP(2,1/((TeamLead_Reports!$A:$A=Dashboard!$B$2)*(TeamLead_Reports!$D:$D=$B19)),TeamLead_Reports!$V:$V),""))</x:f>
      </x:c>
      <x:c r="F19" s="5">
        <x:f>IF($A19="","",SUMIFS(TeamLead_Reports!$G:$G,TeamLead_Reports!$A:$A,Dashboard!$B$2,TeamLead_Reports!$D:$D,$B19))</x:f>
      </x:c>
      <x:c r="G19" s="5">
        <x:f>IF($A19="","",SUMIFS(TeamLead_Reports!$H:$H,TeamLead_Reports!$A:$A,Dashboard!$B$2,TeamLead_Reports!$D:$D,$B19))</x:f>
      </x:c>
      <x:c r="H19" s="5">
        <x:f>IF($A19="","",SUMIFS(TeamLead_Reports!$I:$I,TeamLead_Reports!$A:$A,Dashboard!$B$2,TeamLead_Reports!$D:$D,$B19))</x:f>
      </x:c>
      <x:c r="I19" s="5">
        <x:f>IF($A19="","",SUMIFS(TeamLead_Reports!$J:$J,TeamLead_Reports!$A:$A,Dashboard!$B$2,TeamLead_Reports!$D:$D,$B19))</x:f>
      </x:c>
      <x:c r="J19" s="5">
        <x:f>IF($A19="","",SUMIFS(TeamLead_Reports!$K:$K,TeamLead_Reports!$A:$A,Dashboard!$B$2,TeamLead_Reports!$D:$D,$B19))</x:f>
      </x:c>
      <x:c r="K19" s="5">
        <x:f>IF($A19="","",SUMIFS(TeamLead_Reports!$L:$L,TeamLead_Reports!$A:$A,Dashboard!$B$2,TeamLead_Reports!$D:$D,$B19))</x:f>
      </x:c>
      <x:c r="L19" s="5">
        <x:f>IF($A19="","",SUMIFS(TeamLead_Reports!$M:$M,TeamLead_Reports!$A:$A,Dashboard!$B$2,TeamLead_Reports!$D:$D,$B19))</x:f>
      </x:c>
      <x:c r="M19" s="5">
        <x:f>IF($A19="","",SUMIFS(TeamLead_Reports!$N:$N,TeamLead_Reports!$A:$A,Dashboard!$B$2,TeamLead_Reports!$D:$D,$B19))</x:f>
      </x:c>
      <x:c r="N19" s="5">
        <x:f>IF($A19="","",SUMIFS(TeamLead_Reports!$O:$O,TeamLead_Reports!$A:$A,Dashboard!$B$2,TeamLead_Reports!$D:$D,$B19))</x:f>
      </x:c>
      <x:c r="O19" s="5">
        <x:f>IF($A19="","",SUMIFS(TeamLead_Reports!$P:$P,TeamLead_Reports!$A:$A,Dashboard!$B$2,TeamLead_Reports!$D:$D,$B19))</x:f>
      </x:c>
      <x:c r="P19" s="5">
        <x:f>IF($A19="","",SUMIFS(TeamLead_Reports!$Q:$Q,TeamLead_Reports!$A:$A,Dashboard!$B$2,TeamLead_Reports!$D:$D,$B19))</x:f>
      </x:c>
      <x:c r="Q19" s="5">
        <x:f>IF($A19="","",SUMIFS(TeamLead_Reports!$R:$R,TeamLead_Reports!$A:$A,Dashboard!$B$2,TeamLead_Reports!$D:$D,$B19))</x:f>
      </x:c>
      <x:c r="R19" s="5">
        <x:f>IF($A19="","",SUMIFS(TeamLead_Reports!$S:$S,TeamLead_Reports!$A:$A,Dashboard!$B$2,TeamLead_Reports!$D:$D,$B19))</x:f>
      </x:c>
    </x:row>
    <x:row r="20">
      <x:c r="A20" s="5">
        <x:f>Settings!E20</x:f>
        <x:v>0</x:v>
      </x:c>
      <x:c r="B20" s="5">
        <x:f>Settings!F20</x:f>
        <x:v>0</x:v>
      </x:c>
      <x:c r="C20" s="5">
        <x:f>Settings!G20</x:f>
        <x:v>0</x:v>
      </x:c>
      <x:c r="D20" s="5">
        <x:f>IF($A20="","",COUNTIFS(TeamLead_Reports!$A:$A,Dashboard!$B$2,TeamLead_Reports!$D:$D,$B20))</x:f>
      </x:c>
      <x:c r="E20" s="5">
        <x:f>IF($A20="","",IFERROR(LOOKUP(2,1/((TeamLead_Reports!$A:$A=Dashboard!$B$2)*(TeamLead_Reports!$D:$D=$B20)),TeamLead_Reports!$V:$V),""))</x:f>
      </x:c>
      <x:c r="F20" s="5">
        <x:f>IF($A20="","",SUMIFS(TeamLead_Reports!$G:$G,TeamLead_Reports!$A:$A,Dashboard!$B$2,TeamLead_Reports!$D:$D,$B20))</x:f>
      </x:c>
      <x:c r="G20" s="5">
        <x:f>IF($A20="","",SUMIFS(TeamLead_Reports!$H:$H,TeamLead_Reports!$A:$A,Dashboard!$B$2,TeamLead_Reports!$D:$D,$B20))</x:f>
      </x:c>
      <x:c r="H20" s="5">
        <x:f>IF($A20="","",SUMIFS(TeamLead_Reports!$I:$I,TeamLead_Reports!$A:$A,Dashboard!$B$2,TeamLead_Reports!$D:$D,$B20))</x:f>
      </x:c>
      <x:c r="I20" s="5">
        <x:f>IF($A20="","",SUMIFS(TeamLead_Reports!$J:$J,TeamLead_Reports!$A:$A,Dashboard!$B$2,TeamLead_Reports!$D:$D,$B20))</x:f>
      </x:c>
      <x:c r="J20" s="5">
        <x:f>IF($A20="","",SUMIFS(TeamLead_Reports!$K:$K,TeamLead_Reports!$A:$A,Dashboard!$B$2,TeamLead_Reports!$D:$D,$B20))</x:f>
      </x:c>
      <x:c r="K20" s="5">
        <x:f>IF($A20="","",SUMIFS(TeamLead_Reports!$L:$L,TeamLead_Reports!$A:$A,Dashboard!$B$2,TeamLead_Reports!$D:$D,$B20))</x:f>
      </x:c>
      <x:c r="L20" s="5">
        <x:f>IF($A20="","",SUMIFS(TeamLead_Reports!$M:$M,TeamLead_Reports!$A:$A,Dashboard!$B$2,TeamLead_Reports!$D:$D,$B20))</x:f>
      </x:c>
      <x:c r="M20" s="5">
        <x:f>IF($A20="","",SUMIFS(TeamLead_Reports!$N:$N,TeamLead_Reports!$A:$A,Dashboard!$B$2,TeamLead_Reports!$D:$D,$B20))</x:f>
      </x:c>
      <x:c r="N20" s="5">
        <x:f>IF($A20="","",SUMIFS(TeamLead_Reports!$O:$O,TeamLead_Reports!$A:$A,Dashboard!$B$2,TeamLead_Reports!$D:$D,$B20))</x:f>
      </x:c>
      <x:c r="O20" s="5">
        <x:f>IF($A20="","",SUMIFS(TeamLead_Reports!$P:$P,TeamLead_Reports!$A:$A,Dashboard!$B$2,TeamLead_Reports!$D:$D,$B20))</x:f>
      </x:c>
      <x:c r="P20" s="5">
        <x:f>IF($A20="","",SUMIFS(TeamLead_Reports!$Q:$Q,TeamLead_Reports!$A:$A,Dashboard!$B$2,TeamLead_Reports!$D:$D,$B20))</x:f>
      </x:c>
      <x:c r="Q20" s="5">
        <x:f>IF($A20="","",SUMIFS(TeamLead_Reports!$R:$R,TeamLead_Reports!$A:$A,Dashboard!$B$2,TeamLead_Reports!$D:$D,$B20))</x:f>
      </x:c>
      <x:c r="R20" s="5">
        <x:f>IF($A20="","",SUMIFS(TeamLead_Reports!$S:$S,TeamLead_Reports!$A:$A,Dashboard!$B$2,TeamLead_Reports!$D:$D,$B20))</x:f>
      </x:c>
    </x:row>
    <x:row r="21">
      <x:c r="A21" s="5">
        <x:f>Settings!E21</x:f>
        <x:v>0</x:v>
      </x:c>
      <x:c r="B21" s="5">
        <x:f>Settings!F21</x:f>
        <x:v>0</x:v>
      </x:c>
      <x:c r="C21" s="5">
        <x:f>Settings!G21</x:f>
        <x:v>0</x:v>
      </x:c>
      <x:c r="D21" s="5">
        <x:f>IF($A21="","",COUNTIFS(TeamLead_Reports!$A:$A,Dashboard!$B$2,TeamLead_Reports!$D:$D,$B21))</x:f>
      </x:c>
      <x:c r="E21" s="5">
        <x:f>IF($A21="","",IFERROR(LOOKUP(2,1/((TeamLead_Reports!$A:$A=Dashboard!$B$2)*(TeamLead_Reports!$D:$D=$B21)),TeamLead_Reports!$V:$V),""))</x:f>
      </x:c>
      <x:c r="F21" s="5">
        <x:f>IF($A21="","",SUMIFS(TeamLead_Reports!$G:$G,TeamLead_Reports!$A:$A,Dashboard!$B$2,TeamLead_Reports!$D:$D,$B21))</x:f>
      </x:c>
      <x:c r="G21" s="5">
        <x:f>IF($A21="","",SUMIFS(TeamLead_Reports!$H:$H,TeamLead_Reports!$A:$A,Dashboard!$B$2,TeamLead_Reports!$D:$D,$B21))</x:f>
      </x:c>
      <x:c r="H21" s="5">
        <x:f>IF($A21="","",SUMIFS(TeamLead_Reports!$I:$I,TeamLead_Reports!$A:$A,Dashboard!$B$2,TeamLead_Reports!$D:$D,$B21))</x:f>
      </x:c>
      <x:c r="I21" s="5">
        <x:f>IF($A21="","",SUMIFS(TeamLead_Reports!$J:$J,TeamLead_Reports!$A:$A,Dashboard!$B$2,TeamLead_Reports!$D:$D,$B21))</x:f>
      </x:c>
      <x:c r="J21" s="5">
        <x:f>IF($A21="","",SUMIFS(TeamLead_Reports!$K:$K,TeamLead_Reports!$A:$A,Dashboard!$B$2,TeamLead_Reports!$D:$D,$B21))</x:f>
      </x:c>
      <x:c r="K21" s="5">
        <x:f>IF($A21="","",SUMIFS(TeamLead_Reports!$L:$L,TeamLead_Reports!$A:$A,Dashboard!$B$2,TeamLead_Reports!$D:$D,$B21))</x:f>
      </x:c>
      <x:c r="L21" s="5">
        <x:f>IF($A21="","",SUMIFS(TeamLead_Reports!$M:$M,TeamLead_Reports!$A:$A,Dashboard!$B$2,TeamLead_Reports!$D:$D,$B21))</x:f>
      </x:c>
      <x:c r="M21" s="5">
        <x:f>IF($A21="","",SUMIFS(TeamLead_Reports!$N:$N,TeamLead_Reports!$A:$A,Dashboard!$B$2,TeamLead_Reports!$D:$D,$B21))</x:f>
      </x:c>
      <x:c r="N21" s="5">
        <x:f>IF($A21="","",SUMIFS(TeamLead_Reports!$O:$O,TeamLead_Reports!$A:$A,Dashboard!$B$2,TeamLead_Reports!$D:$D,$B21))</x:f>
      </x:c>
      <x:c r="O21" s="5">
        <x:f>IF($A21="","",SUMIFS(TeamLead_Reports!$P:$P,TeamLead_Reports!$A:$A,Dashboard!$B$2,TeamLead_Reports!$D:$D,$B21))</x:f>
      </x:c>
      <x:c r="P21" s="5">
        <x:f>IF($A21="","",SUMIFS(TeamLead_Reports!$Q:$Q,TeamLead_Reports!$A:$A,Dashboard!$B$2,TeamLead_Reports!$D:$D,$B21))</x:f>
      </x:c>
      <x:c r="Q21" s="5">
        <x:f>IF($A21="","",SUMIFS(TeamLead_Reports!$R:$R,TeamLead_Reports!$A:$A,Dashboard!$B$2,TeamLead_Reports!$D:$D,$B21))</x:f>
      </x:c>
      <x:c r="R21" s="5">
        <x:f>IF($A21="","",SUMIFS(TeamLead_Reports!$S:$S,TeamLead_Reports!$A:$A,Dashboard!$B$2,TeamLead_Reports!$D:$D,$B21))</x:f>
      </x:c>
    </x:row>
    <x:row r="22">
      <x:c r="A22" s="5">
        <x:f>Settings!E22</x:f>
        <x:v>0</x:v>
      </x:c>
      <x:c r="B22" s="5">
        <x:f>Settings!F22</x:f>
        <x:v>0</x:v>
      </x:c>
      <x:c r="C22" s="5">
        <x:f>Settings!G22</x:f>
        <x:v>0</x:v>
      </x:c>
      <x:c r="D22" s="5">
        <x:f>IF($A22="","",COUNTIFS(TeamLead_Reports!$A:$A,Dashboard!$B$2,TeamLead_Reports!$D:$D,$B22))</x:f>
      </x:c>
      <x:c r="E22" s="5">
        <x:f>IF($A22="","",IFERROR(LOOKUP(2,1/((TeamLead_Reports!$A:$A=Dashboard!$B$2)*(TeamLead_Reports!$D:$D=$B22)),TeamLead_Reports!$V:$V),""))</x:f>
      </x:c>
      <x:c r="F22" s="5">
        <x:f>IF($A22="","",SUMIFS(TeamLead_Reports!$G:$G,TeamLead_Reports!$A:$A,Dashboard!$B$2,TeamLead_Reports!$D:$D,$B22))</x:f>
      </x:c>
      <x:c r="G22" s="5">
        <x:f>IF($A22="","",SUMIFS(TeamLead_Reports!$H:$H,TeamLead_Reports!$A:$A,Dashboard!$B$2,TeamLead_Reports!$D:$D,$B22))</x:f>
      </x:c>
      <x:c r="H22" s="5">
        <x:f>IF($A22="","",SUMIFS(TeamLead_Reports!$I:$I,TeamLead_Reports!$A:$A,Dashboard!$B$2,TeamLead_Reports!$D:$D,$B22))</x:f>
      </x:c>
      <x:c r="I22" s="5">
        <x:f>IF($A22="","",SUMIFS(TeamLead_Reports!$J:$J,TeamLead_Reports!$A:$A,Dashboard!$B$2,TeamLead_Reports!$D:$D,$B22))</x:f>
      </x:c>
      <x:c r="J22" s="5">
        <x:f>IF($A22="","",SUMIFS(TeamLead_Reports!$K:$K,TeamLead_Reports!$A:$A,Dashboard!$B$2,TeamLead_Reports!$D:$D,$B22))</x:f>
      </x:c>
      <x:c r="K22" s="5">
        <x:f>IF($A22="","",SUMIFS(TeamLead_Reports!$L:$L,TeamLead_Reports!$A:$A,Dashboard!$B$2,TeamLead_Reports!$D:$D,$B22))</x:f>
      </x:c>
      <x:c r="L22" s="5">
        <x:f>IF($A22="","",SUMIFS(TeamLead_Reports!$M:$M,TeamLead_Reports!$A:$A,Dashboard!$B$2,TeamLead_Reports!$D:$D,$B22))</x:f>
      </x:c>
      <x:c r="M22" s="5">
        <x:f>IF($A22="","",SUMIFS(TeamLead_Reports!$N:$N,TeamLead_Reports!$A:$A,Dashboard!$B$2,TeamLead_Reports!$D:$D,$B22))</x:f>
      </x:c>
      <x:c r="N22" s="5">
        <x:f>IF($A22="","",SUMIFS(TeamLead_Reports!$O:$O,TeamLead_Reports!$A:$A,Dashboard!$B$2,TeamLead_Reports!$D:$D,$B22))</x:f>
      </x:c>
      <x:c r="O22" s="5">
        <x:f>IF($A22="","",SUMIFS(TeamLead_Reports!$P:$P,TeamLead_Reports!$A:$A,Dashboard!$B$2,TeamLead_Reports!$D:$D,$B22))</x:f>
      </x:c>
      <x:c r="P22" s="5">
        <x:f>IF($A22="","",SUMIFS(TeamLead_Reports!$Q:$Q,TeamLead_Reports!$A:$A,Dashboard!$B$2,TeamLead_Reports!$D:$D,$B22))</x:f>
      </x:c>
      <x:c r="Q22" s="5">
        <x:f>IF($A22="","",SUMIFS(TeamLead_Reports!$R:$R,TeamLead_Reports!$A:$A,Dashboard!$B$2,TeamLead_Reports!$D:$D,$B22))</x:f>
      </x:c>
      <x:c r="R22" s="5">
        <x:f>IF($A22="","",SUMIFS(TeamLead_Reports!$S:$S,TeamLead_Reports!$A:$A,Dashboard!$B$2,TeamLead_Reports!$D:$D,$B22))</x:f>
      </x:c>
    </x:row>
    <x:row r="23">
      <x:c r="A23" s="5">
        <x:f>Settings!E23</x:f>
        <x:v>0</x:v>
      </x:c>
      <x:c r="B23" s="5">
        <x:f>Settings!F23</x:f>
        <x:v>0</x:v>
      </x:c>
      <x:c r="C23" s="5">
        <x:f>Settings!G23</x:f>
        <x:v>0</x:v>
      </x:c>
      <x:c r="D23" s="5">
        <x:f>IF($A23="","",COUNTIFS(TeamLead_Reports!$A:$A,Dashboard!$B$2,TeamLead_Reports!$D:$D,$B23))</x:f>
      </x:c>
      <x:c r="E23" s="5">
        <x:f>IF($A23="","",IFERROR(LOOKUP(2,1/((TeamLead_Reports!$A:$A=Dashboard!$B$2)*(TeamLead_Reports!$D:$D=$B23)),TeamLead_Reports!$V:$V),""))</x:f>
      </x:c>
      <x:c r="F23" s="5">
        <x:f>IF($A23="","",SUMIFS(TeamLead_Reports!$G:$G,TeamLead_Reports!$A:$A,Dashboard!$B$2,TeamLead_Reports!$D:$D,$B23))</x:f>
      </x:c>
      <x:c r="G23" s="5">
        <x:f>IF($A23="","",SUMIFS(TeamLead_Reports!$H:$H,TeamLead_Reports!$A:$A,Dashboard!$B$2,TeamLead_Reports!$D:$D,$B23))</x:f>
      </x:c>
      <x:c r="H23" s="5">
        <x:f>IF($A23="","",SUMIFS(TeamLead_Reports!$I:$I,TeamLead_Reports!$A:$A,Dashboard!$B$2,TeamLead_Reports!$D:$D,$B23))</x:f>
      </x:c>
      <x:c r="I23" s="5">
        <x:f>IF($A23="","",SUMIFS(TeamLead_Reports!$J:$J,TeamLead_Reports!$A:$A,Dashboard!$B$2,TeamLead_Reports!$D:$D,$B23))</x:f>
      </x:c>
      <x:c r="J23" s="5">
        <x:f>IF($A23="","",SUMIFS(TeamLead_Reports!$K:$K,TeamLead_Reports!$A:$A,Dashboard!$B$2,TeamLead_Reports!$D:$D,$B23))</x:f>
      </x:c>
      <x:c r="K23" s="5">
        <x:f>IF($A23="","",SUMIFS(TeamLead_Reports!$L:$L,TeamLead_Reports!$A:$A,Dashboard!$B$2,TeamLead_Reports!$D:$D,$B23))</x:f>
      </x:c>
      <x:c r="L23" s="5">
        <x:f>IF($A23="","",SUMIFS(TeamLead_Reports!$M:$M,TeamLead_Reports!$A:$A,Dashboard!$B$2,TeamLead_Reports!$D:$D,$B23))</x:f>
      </x:c>
      <x:c r="M23" s="5">
        <x:f>IF($A23="","",SUMIFS(TeamLead_Reports!$N:$N,TeamLead_Reports!$A:$A,Dashboard!$B$2,TeamLead_Reports!$D:$D,$B23))</x:f>
      </x:c>
      <x:c r="N23" s="5">
        <x:f>IF($A23="","",SUMIFS(TeamLead_Reports!$O:$O,TeamLead_Reports!$A:$A,Dashboard!$B$2,TeamLead_Reports!$D:$D,$B23))</x:f>
      </x:c>
      <x:c r="O23" s="5">
        <x:f>IF($A23="","",SUMIFS(TeamLead_Reports!$P:$P,TeamLead_Reports!$A:$A,Dashboard!$B$2,TeamLead_Reports!$D:$D,$B23))</x:f>
      </x:c>
      <x:c r="P23" s="5">
        <x:f>IF($A23="","",SUMIFS(TeamLead_Reports!$Q:$Q,TeamLead_Reports!$A:$A,Dashboard!$B$2,TeamLead_Reports!$D:$D,$B23))</x:f>
      </x:c>
      <x:c r="Q23" s="5">
        <x:f>IF($A23="","",SUMIFS(TeamLead_Reports!$R:$R,TeamLead_Reports!$A:$A,Dashboard!$B$2,TeamLead_Reports!$D:$D,$B23))</x:f>
      </x:c>
      <x:c r="R23" s="5">
        <x:f>IF($A23="","",SUMIFS(TeamLead_Reports!$S:$S,TeamLead_Reports!$A:$A,Dashboard!$B$2,TeamLead_Reports!$D:$D,$B23))</x:f>
      </x:c>
    </x:row>
    <x:row r="24">
      <x:c r="A24" s="5">
        <x:f>Settings!E24</x:f>
        <x:v>0</x:v>
      </x:c>
      <x:c r="B24" s="5">
        <x:f>Settings!F24</x:f>
        <x:v>0</x:v>
      </x:c>
      <x:c r="C24" s="5">
        <x:f>Settings!G24</x:f>
        <x:v>0</x:v>
      </x:c>
      <x:c r="D24" s="5">
        <x:f>IF($A24="","",COUNTIFS(TeamLead_Reports!$A:$A,Dashboard!$B$2,TeamLead_Reports!$D:$D,$B24))</x:f>
      </x:c>
      <x:c r="E24" s="5">
        <x:f>IF($A24="","",IFERROR(LOOKUP(2,1/((TeamLead_Reports!$A:$A=Dashboard!$B$2)*(TeamLead_Reports!$D:$D=$B24)),TeamLead_Reports!$V:$V),""))</x:f>
      </x:c>
      <x:c r="F24" s="5">
        <x:f>IF($A24="","",SUMIFS(TeamLead_Reports!$G:$G,TeamLead_Reports!$A:$A,Dashboard!$B$2,TeamLead_Reports!$D:$D,$B24))</x:f>
      </x:c>
      <x:c r="G24" s="5">
        <x:f>IF($A24="","",SUMIFS(TeamLead_Reports!$H:$H,TeamLead_Reports!$A:$A,Dashboard!$B$2,TeamLead_Reports!$D:$D,$B24))</x:f>
      </x:c>
      <x:c r="H24" s="5">
        <x:f>IF($A24="","",SUMIFS(TeamLead_Reports!$I:$I,TeamLead_Reports!$A:$A,Dashboard!$B$2,TeamLead_Reports!$D:$D,$B24))</x:f>
      </x:c>
      <x:c r="I24" s="5">
        <x:f>IF($A24="","",SUMIFS(TeamLead_Reports!$J:$J,TeamLead_Reports!$A:$A,Dashboard!$B$2,TeamLead_Reports!$D:$D,$B24))</x:f>
      </x:c>
      <x:c r="J24" s="5">
        <x:f>IF($A24="","",SUMIFS(TeamLead_Reports!$K:$K,TeamLead_Reports!$A:$A,Dashboard!$B$2,TeamLead_Reports!$D:$D,$B24))</x:f>
      </x:c>
      <x:c r="K24" s="5">
        <x:f>IF($A24="","",SUMIFS(TeamLead_Reports!$L:$L,TeamLead_Reports!$A:$A,Dashboard!$B$2,TeamLead_Reports!$D:$D,$B24))</x:f>
      </x:c>
      <x:c r="L24" s="5">
        <x:f>IF($A24="","",SUMIFS(TeamLead_Reports!$M:$M,TeamLead_Reports!$A:$A,Dashboard!$B$2,TeamLead_Reports!$D:$D,$B24))</x:f>
      </x:c>
      <x:c r="M24" s="5">
        <x:f>IF($A24="","",SUMIFS(TeamLead_Reports!$N:$N,TeamLead_Reports!$A:$A,Dashboard!$B$2,TeamLead_Reports!$D:$D,$B24))</x:f>
      </x:c>
      <x:c r="N24" s="5">
        <x:f>IF($A24="","",SUMIFS(TeamLead_Reports!$O:$O,TeamLead_Reports!$A:$A,Dashboard!$B$2,TeamLead_Reports!$D:$D,$B24))</x:f>
      </x:c>
      <x:c r="O24" s="5">
        <x:f>IF($A24="","",SUMIFS(TeamLead_Reports!$P:$P,TeamLead_Reports!$A:$A,Dashboard!$B$2,TeamLead_Reports!$D:$D,$B24))</x:f>
      </x:c>
      <x:c r="P24" s="5">
        <x:f>IF($A24="","",SUMIFS(TeamLead_Reports!$Q:$Q,TeamLead_Reports!$A:$A,Dashboard!$B$2,TeamLead_Reports!$D:$D,$B24))</x:f>
      </x:c>
      <x:c r="Q24" s="5">
        <x:f>IF($A24="","",SUMIFS(TeamLead_Reports!$R:$R,TeamLead_Reports!$A:$A,Dashboard!$B$2,TeamLead_Reports!$D:$D,$B24))</x:f>
      </x:c>
      <x:c r="R24" s="5">
        <x:f>IF($A24="","",SUMIFS(TeamLead_Reports!$S:$S,TeamLead_Reports!$A:$A,Dashboard!$B$2,TeamLead_Reports!$D:$D,$B24))</x:f>
      </x:c>
    </x:row>
    <x:row r="25">
      <x:c r="A25" s="5">
        <x:f>Settings!E25</x:f>
        <x:v>0</x:v>
      </x:c>
      <x:c r="B25" s="5">
        <x:f>Settings!F25</x:f>
        <x:v>0</x:v>
      </x:c>
      <x:c r="C25" s="5">
        <x:f>Settings!G25</x:f>
        <x:v>0</x:v>
      </x:c>
      <x:c r="D25" s="5">
        <x:f>IF($A25="","",COUNTIFS(TeamLead_Reports!$A:$A,Dashboard!$B$2,TeamLead_Reports!$D:$D,$B25))</x:f>
      </x:c>
      <x:c r="E25" s="5">
        <x:f>IF($A25="","",IFERROR(LOOKUP(2,1/((TeamLead_Reports!$A:$A=Dashboard!$B$2)*(TeamLead_Reports!$D:$D=$B25)),TeamLead_Reports!$V:$V),""))</x:f>
      </x:c>
      <x:c r="F25" s="5">
        <x:f>IF($A25="","",SUMIFS(TeamLead_Reports!$G:$G,TeamLead_Reports!$A:$A,Dashboard!$B$2,TeamLead_Reports!$D:$D,$B25))</x:f>
      </x:c>
      <x:c r="G25" s="5">
        <x:f>IF($A25="","",SUMIFS(TeamLead_Reports!$H:$H,TeamLead_Reports!$A:$A,Dashboard!$B$2,TeamLead_Reports!$D:$D,$B25))</x:f>
      </x:c>
      <x:c r="H25" s="5">
        <x:f>IF($A25="","",SUMIFS(TeamLead_Reports!$I:$I,TeamLead_Reports!$A:$A,Dashboard!$B$2,TeamLead_Reports!$D:$D,$B25))</x:f>
      </x:c>
      <x:c r="I25" s="5">
        <x:f>IF($A25="","",SUMIFS(TeamLead_Reports!$J:$J,TeamLead_Reports!$A:$A,Dashboard!$B$2,TeamLead_Reports!$D:$D,$B25))</x:f>
      </x:c>
      <x:c r="J25" s="5">
        <x:f>IF($A25="","",SUMIFS(TeamLead_Reports!$K:$K,TeamLead_Reports!$A:$A,Dashboard!$B$2,TeamLead_Reports!$D:$D,$B25))</x:f>
      </x:c>
      <x:c r="K25" s="5">
        <x:f>IF($A25="","",SUMIFS(TeamLead_Reports!$L:$L,TeamLead_Reports!$A:$A,Dashboard!$B$2,TeamLead_Reports!$D:$D,$B25))</x:f>
      </x:c>
      <x:c r="L25" s="5">
        <x:f>IF($A25="","",SUMIFS(TeamLead_Reports!$M:$M,TeamLead_Reports!$A:$A,Dashboard!$B$2,TeamLead_Reports!$D:$D,$B25))</x:f>
      </x:c>
      <x:c r="M25" s="5">
        <x:f>IF($A25="","",SUMIFS(TeamLead_Reports!$N:$N,TeamLead_Reports!$A:$A,Dashboard!$B$2,TeamLead_Reports!$D:$D,$B25))</x:f>
      </x:c>
      <x:c r="N25" s="5">
        <x:f>IF($A25="","",SUMIFS(TeamLead_Reports!$O:$O,TeamLead_Reports!$A:$A,Dashboard!$B$2,TeamLead_Reports!$D:$D,$B25))</x:f>
      </x:c>
      <x:c r="O25" s="5">
        <x:f>IF($A25="","",SUMIFS(TeamLead_Reports!$P:$P,TeamLead_Reports!$A:$A,Dashboard!$B$2,TeamLead_Reports!$D:$D,$B25))</x:f>
      </x:c>
      <x:c r="P25" s="5">
        <x:f>IF($A25="","",SUMIFS(TeamLead_Reports!$Q:$Q,TeamLead_Reports!$A:$A,Dashboard!$B$2,TeamLead_Reports!$D:$D,$B25))</x:f>
      </x:c>
      <x:c r="Q25" s="5">
        <x:f>IF($A25="","",SUMIFS(TeamLead_Reports!$R:$R,TeamLead_Reports!$A:$A,Dashboard!$B$2,TeamLead_Reports!$D:$D,$B25))</x:f>
      </x:c>
      <x:c r="R25" s="5">
        <x:f>IF($A25="","",SUMIFS(TeamLead_Reports!$S:$S,TeamLead_Reports!$A:$A,Dashboard!$B$2,TeamLead_Reports!$D:$D,$B25))</x:f>
      </x:c>
    </x:row>
    <x:row r="26">
      <x:c r="A26" s="5">
        <x:f>Settings!E26</x:f>
        <x:v>0</x:v>
      </x:c>
      <x:c r="B26" s="5">
        <x:f>Settings!F26</x:f>
        <x:v>0</x:v>
      </x:c>
      <x:c r="C26" s="5">
        <x:f>Settings!G26</x:f>
        <x:v>0</x:v>
      </x:c>
      <x:c r="D26" s="5">
        <x:f>IF($A26="","",COUNTIFS(TeamLead_Reports!$A:$A,Dashboard!$B$2,TeamLead_Reports!$D:$D,$B26))</x:f>
      </x:c>
      <x:c r="E26" s="5">
        <x:f>IF($A26="","",IFERROR(LOOKUP(2,1/((TeamLead_Reports!$A:$A=Dashboard!$B$2)*(TeamLead_Reports!$D:$D=$B26)),TeamLead_Reports!$V:$V),""))</x:f>
      </x:c>
      <x:c r="F26" s="5">
        <x:f>IF($A26="","",SUMIFS(TeamLead_Reports!$G:$G,TeamLead_Reports!$A:$A,Dashboard!$B$2,TeamLead_Reports!$D:$D,$B26))</x:f>
      </x:c>
      <x:c r="G26" s="5">
        <x:f>IF($A26="","",SUMIFS(TeamLead_Reports!$H:$H,TeamLead_Reports!$A:$A,Dashboard!$B$2,TeamLead_Reports!$D:$D,$B26))</x:f>
      </x:c>
      <x:c r="H26" s="5">
        <x:f>IF($A26="","",SUMIFS(TeamLead_Reports!$I:$I,TeamLead_Reports!$A:$A,Dashboard!$B$2,TeamLead_Reports!$D:$D,$B26))</x:f>
      </x:c>
      <x:c r="I26" s="5">
        <x:f>IF($A26="","",SUMIFS(TeamLead_Reports!$J:$J,TeamLead_Reports!$A:$A,Dashboard!$B$2,TeamLead_Reports!$D:$D,$B26))</x:f>
      </x:c>
      <x:c r="J26" s="5">
        <x:f>IF($A26="","",SUMIFS(TeamLead_Reports!$K:$K,TeamLead_Reports!$A:$A,Dashboard!$B$2,TeamLead_Reports!$D:$D,$B26))</x:f>
      </x:c>
      <x:c r="K26" s="5">
        <x:f>IF($A26="","",SUMIFS(TeamLead_Reports!$L:$L,TeamLead_Reports!$A:$A,Dashboard!$B$2,TeamLead_Reports!$D:$D,$B26))</x:f>
      </x:c>
      <x:c r="L26" s="5">
        <x:f>IF($A26="","",SUMIFS(TeamLead_Reports!$M:$M,TeamLead_Reports!$A:$A,Dashboard!$B$2,TeamLead_Reports!$D:$D,$B26))</x:f>
      </x:c>
      <x:c r="M26" s="5">
        <x:f>IF($A26="","",SUMIFS(TeamLead_Reports!$N:$N,TeamLead_Reports!$A:$A,Dashboard!$B$2,TeamLead_Reports!$D:$D,$B26))</x:f>
      </x:c>
      <x:c r="N26" s="5">
        <x:f>IF($A26="","",SUMIFS(TeamLead_Reports!$O:$O,TeamLead_Reports!$A:$A,Dashboard!$B$2,TeamLead_Reports!$D:$D,$B26))</x:f>
      </x:c>
      <x:c r="O26" s="5">
        <x:f>IF($A26="","",SUMIFS(TeamLead_Reports!$P:$P,TeamLead_Reports!$A:$A,Dashboard!$B$2,TeamLead_Reports!$D:$D,$B26))</x:f>
      </x:c>
      <x:c r="P26" s="5">
        <x:f>IF($A26="","",SUMIFS(TeamLead_Reports!$Q:$Q,TeamLead_Reports!$A:$A,Dashboard!$B$2,TeamLead_Reports!$D:$D,$B26))</x:f>
      </x:c>
      <x:c r="Q26" s="5">
        <x:f>IF($A26="","",SUMIFS(TeamLead_Reports!$R:$R,TeamLead_Reports!$A:$A,Dashboard!$B$2,TeamLead_Reports!$D:$D,$B26))</x:f>
      </x:c>
      <x:c r="R26" s="5">
        <x:f>IF($A26="","",SUMIFS(TeamLead_Reports!$S:$S,TeamLead_Reports!$A:$A,Dashboard!$B$2,TeamLead_Reports!$D:$D,$B26))</x:f>
      </x:c>
    </x:row>
    <x:row r="27">
      <x:c r="A27" s="5">
        <x:f>Settings!E27</x:f>
        <x:v>0</x:v>
      </x:c>
      <x:c r="B27" s="5">
        <x:f>Settings!F27</x:f>
        <x:v>0</x:v>
      </x:c>
      <x:c r="C27" s="5">
        <x:f>Settings!G27</x:f>
        <x:v>0</x:v>
      </x:c>
      <x:c r="D27" s="5">
        <x:f>IF($A27="","",COUNTIFS(TeamLead_Reports!$A:$A,Dashboard!$B$2,TeamLead_Reports!$D:$D,$B27))</x:f>
      </x:c>
      <x:c r="E27" s="5">
        <x:f>IF($A27="","",IFERROR(LOOKUP(2,1/((TeamLead_Reports!$A:$A=Dashboard!$B$2)*(TeamLead_Reports!$D:$D=$B27)),TeamLead_Reports!$V:$V),""))</x:f>
      </x:c>
      <x:c r="F27" s="5">
        <x:f>IF($A27="","",SUMIFS(TeamLead_Reports!$G:$G,TeamLead_Reports!$A:$A,Dashboard!$B$2,TeamLead_Reports!$D:$D,$B27))</x:f>
      </x:c>
      <x:c r="G27" s="5">
        <x:f>IF($A27="","",SUMIFS(TeamLead_Reports!$H:$H,TeamLead_Reports!$A:$A,Dashboard!$B$2,TeamLead_Reports!$D:$D,$B27))</x:f>
      </x:c>
      <x:c r="H27" s="5">
        <x:f>IF($A27="","",SUMIFS(TeamLead_Reports!$I:$I,TeamLead_Reports!$A:$A,Dashboard!$B$2,TeamLead_Reports!$D:$D,$B27))</x:f>
      </x:c>
      <x:c r="I27" s="5">
        <x:f>IF($A27="","",SUMIFS(TeamLead_Reports!$J:$J,TeamLead_Reports!$A:$A,Dashboard!$B$2,TeamLead_Reports!$D:$D,$B27))</x:f>
      </x:c>
      <x:c r="J27" s="5">
        <x:f>IF($A27="","",SUMIFS(TeamLead_Reports!$K:$K,TeamLead_Reports!$A:$A,Dashboard!$B$2,TeamLead_Reports!$D:$D,$B27))</x:f>
      </x:c>
      <x:c r="K27" s="5">
        <x:f>IF($A27="","",SUMIFS(TeamLead_Reports!$L:$L,TeamLead_Reports!$A:$A,Dashboard!$B$2,TeamLead_Reports!$D:$D,$B27))</x:f>
      </x:c>
      <x:c r="L27" s="5">
        <x:f>IF($A27="","",SUMIFS(TeamLead_Reports!$M:$M,TeamLead_Reports!$A:$A,Dashboard!$B$2,TeamLead_Reports!$D:$D,$B27))</x:f>
      </x:c>
      <x:c r="M27" s="5">
        <x:f>IF($A27="","",SUMIFS(TeamLead_Reports!$N:$N,TeamLead_Reports!$A:$A,Dashboard!$B$2,TeamLead_Reports!$D:$D,$B27))</x:f>
      </x:c>
      <x:c r="N27" s="5">
        <x:f>IF($A27="","",SUMIFS(TeamLead_Reports!$O:$O,TeamLead_Reports!$A:$A,Dashboard!$B$2,TeamLead_Reports!$D:$D,$B27))</x:f>
      </x:c>
      <x:c r="O27" s="5">
        <x:f>IF($A27="","",SUMIFS(TeamLead_Reports!$P:$P,TeamLead_Reports!$A:$A,Dashboard!$B$2,TeamLead_Reports!$D:$D,$B27))</x:f>
      </x:c>
      <x:c r="P27" s="5">
        <x:f>IF($A27="","",SUMIFS(TeamLead_Reports!$Q:$Q,TeamLead_Reports!$A:$A,Dashboard!$B$2,TeamLead_Reports!$D:$D,$B27))</x:f>
      </x:c>
      <x:c r="Q27" s="5">
        <x:f>IF($A27="","",SUMIFS(TeamLead_Reports!$R:$R,TeamLead_Reports!$A:$A,Dashboard!$B$2,TeamLead_Reports!$D:$D,$B27))</x:f>
      </x:c>
      <x:c r="R27" s="5">
        <x:f>IF($A27="","",SUMIFS(TeamLead_Reports!$S:$S,TeamLead_Reports!$A:$A,Dashboard!$B$2,TeamLead_Reports!$D:$D,$B27))</x:f>
      </x:c>
    </x:row>
    <x:row r="28">
      <x:c r="A28" s="5">
        <x:f>Settings!E28</x:f>
        <x:v>0</x:v>
      </x:c>
      <x:c r="B28" s="5">
        <x:f>Settings!F28</x:f>
        <x:v>0</x:v>
      </x:c>
      <x:c r="C28" s="5">
        <x:f>Settings!G28</x:f>
        <x:v>0</x:v>
      </x:c>
      <x:c r="D28" s="5">
        <x:f>IF($A28="","",COUNTIFS(TeamLead_Reports!$A:$A,Dashboard!$B$2,TeamLead_Reports!$D:$D,$B28))</x:f>
      </x:c>
      <x:c r="E28" s="5">
        <x:f>IF($A28="","",IFERROR(LOOKUP(2,1/((TeamLead_Reports!$A:$A=Dashboard!$B$2)*(TeamLead_Reports!$D:$D=$B28)),TeamLead_Reports!$V:$V),""))</x:f>
      </x:c>
      <x:c r="F28" s="5">
        <x:f>IF($A28="","",SUMIFS(TeamLead_Reports!$G:$G,TeamLead_Reports!$A:$A,Dashboard!$B$2,TeamLead_Reports!$D:$D,$B28))</x:f>
      </x:c>
      <x:c r="G28" s="5">
        <x:f>IF($A28="","",SUMIFS(TeamLead_Reports!$H:$H,TeamLead_Reports!$A:$A,Dashboard!$B$2,TeamLead_Reports!$D:$D,$B28))</x:f>
      </x:c>
      <x:c r="H28" s="5">
        <x:f>IF($A28="","",SUMIFS(TeamLead_Reports!$I:$I,TeamLead_Reports!$A:$A,Dashboard!$B$2,TeamLead_Reports!$D:$D,$B28))</x:f>
      </x:c>
      <x:c r="I28" s="5">
        <x:f>IF($A28="","",SUMIFS(TeamLead_Reports!$J:$J,TeamLead_Reports!$A:$A,Dashboard!$B$2,TeamLead_Reports!$D:$D,$B28))</x:f>
      </x:c>
      <x:c r="J28" s="5">
        <x:f>IF($A28="","",SUMIFS(TeamLead_Reports!$K:$K,TeamLead_Reports!$A:$A,Dashboard!$B$2,TeamLead_Reports!$D:$D,$B28))</x:f>
      </x:c>
      <x:c r="K28" s="5">
        <x:f>IF($A28="","",SUMIFS(TeamLead_Reports!$L:$L,TeamLead_Reports!$A:$A,Dashboard!$B$2,TeamLead_Reports!$D:$D,$B28))</x:f>
      </x:c>
      <x:c r="L28" s="5">
        <x:f>IF($A28="","",SUMIFS(TeamLead_Reports!$M:$M,TeamLead_Reports!$A:$A,Dashboard!$B$2,TeamLead_Reports!$D:$D,$B28))</x:f>
      </x:c>
      <x:c r="M28" s="5">
        <x:f>IF($A28="","",SUMIFS(TeamLead_Reports!$N:$N,TeamLead_Reports!$A:$A,Dashboard!$B$2,TeamLead_Reports!$D:$D,$B28))</x:f>
      </x:c>
      <x:c r="N28" s="5">
        <x:f>IF($A28="","",SUMIFS(TeamLead_Reports!$O:$O,TeamLead_Reports!$A:$A,Dashboard!$B$2,TeamLead_Reports!$D:$D,$B28))</x:f>
      </x:c>
      <x:c r="O28" s="5">
        <x:f>IF($A28="","",SUMIFS(TeamLead_Reports!$P:$P,TeamLead_Reports!$A:$A,Dashboard!$B$2,TeamLead_Reports!$D:$D,$B28))</x:f>
      </x:c>
      <x:c r="P28" s="5">
        <x:f>IF($A28="","",SUMIFS(TeamLead_Reports!$Q:$Q,TeamLead_Reports!$A:$A,Dashboard!$B$2,TeamLead_Reports!$D:$D,$B28))</x:f>
      </x:c>
      <x:c r="Q28" s="5">
        <x:f>IF($A28="","",SUMIFS(TeamLead_Reports!$R:$R,TeamLead_Reports!$A:$A,Dashboard!$B$2,TeamLead_Reports!$D:$D,$B28))</x:f>
      </x:c>
      <x:c r="R28" s="5">
        <x:f>IF($A28="","",SUMIFS(TeamLead_Reports!$S:$S,TeamLead_Reports!$A:$A,Dashboard!$B$2,TeamLead_Reports!$D:$D,$B28))</x:f>
      </x:c>
    </x:row>
    <x:row r="29">
      <x:c r="A29" s="5">
        <x:f>Settings!E29</x:f>
        <x:v>0</x:v>
      </x:c>
      <x:c r="B29" s="5">
        <x:f>Settings!F29</x:f>
        <x:v>0</x:v>
      </x:c>
      <x:c r="C29" s="5">
        <x:f>Settings!G29</x:f>
        <x:v>0</x:v>
      </x:c>
      <x:c r="D29" s="5">
        <x:f>IF($A29="","",COUNTIFS(TeamLead_Reports!$A:$A,Dashboard!$B$2,TeamLead_Reports!$D:$D,$B29))</x:f>
      </x:c>
      <x:c r="E29" s="5">
        <x:f>IF($A29="","",IFERROR(LOOKUP(2,1/((TeamLead_Reports!$A:$A=Dashboard!$B$2)*(TeamLead_Reports!$D:$D=$B29)),TeamLead_Reports!$V:$V),""))</x:f>
      </x:c>
      <x:c r="F29" s="5">
        <x:f>IF($A29="","",SUMIFS(TeamLead_Reports!$G:$G,TeamLead_Reports!$A:$A,Dashboard!$B$2,TeamLead_Reports!$D:$D,$B29))</x:f>
      </x:c>
      <x:c r="G29" s="5">
        <x:f>IF($A29="","",SUMIFS(TeamLead_Reports!$H:$H,TeamLead_Reports!$A:$A,Dashboard!$B$2,TeamLead_Reports!$D:$D,$B29))</x:f>
      </x:c>
      <x:c r="H29" s="5">
        <x:f>IF($A29="","",SUMIFS(TeamLead_Reports!$I:$I,TeamLead_Reports!$A:$A,Dashboard!$B$2,TeamLead_Reports!$D:$D,$B29))</x:f>
      </x:c>
      <x:c r="I29" s="5">
        <x:f>IF($A29="","",SUMIFS(TeamLead_Reports!$J:$J,TeamLead_Reports!$A:$A,Dashboard!$B$2,TeamLead_Reports!$D:$D,$B29))</x:f>
      </x:c>
      <x:c r="J29" s="5">
        <x:f>IF($A29="","",SUMIFS(TeamLead_Reports!$K:$K,TeamLead_Reports!$A:$A,Dashboard!$B$2,TeamLead_Reports!$D:$D,$B29))</x:f>
      </x:c>
      <x:c r="K29" s="5">
        <x:f>IF($A29="","",SUMIFS(TeamLead_Reports!$L:$L,TeamLead_Reports!$A:$A,Dashboard!$B$2,TeamLead_Reports!$D:$D,$B29))</x:f>
      </x:c>
      <x:c r="L29" s="5">
        <x:f>IF($A29="","",SUMIFS(TeamLead_Reports!$M:$M,TeamLead_Reports!$A:$A,Dashboard!$B$2,TeamLead_Reports!$D:$D,$B29))</x:f>
      </x:c>
      <x:c r="M29" s="5">
        <x:f>IF($A29="","",SUMIFS(TeamLead_Reports!$N:$N,TeamLead_Reports!$A:$A,Dashboard!$B$2,TeamLead_Reports!$D:$D,$B29))</x:f>
      </x:c>
      <x:c r="N29" s="5">
        <x:f>IF($A29="","",SUMIFS(TeamLead_Reports!$O:$O,TeamLead_Reports!$A:$A,Dashboard!$B$2,TeamLead_Reports!$D:$D,$B29))</x:f>
      </x:c>
      <x:c r="O29" s="5">
        <x:f>IF($A29="","",SUMIFS(TeamLead_Reports!$P:$P,TeamLead_Reports!$A:$A,Dashboard!$B$2,TeamLead_Reports!$D:$D,$B29))</x:f>
      </x:c>
      <x:c r="P29" s="5">
        <x:f>IF($A29="","",SUMIFS(TeamLead_Reports!$Q:$Q,TeamLead_Reports!$A:$A,Dashboard!$B$2,TeamLead_Reports!$D:$D,$B29))</x:f>
      </x:c>
      <x:c r="Q29" s="5">
        <x:f>IF($A29="","",SUMIFS(TeamLead_Reports!$R:$R,TeamLead_Reports!$A:$A,Dashboard!$B$2,TeamLead_Reports!$D:$D,$B29))</x:f>
      </x:c>
      <x:c r="R29" s="5">
        <x:f>IF($A29="","",SUMIFS(TeamLead_Reports!$S:$S,TeamLead_Reports!$A:$A,Dashboard!$B$2,TeamLead_Reports!$D:$D,$B29))</x:f>
      </x:c>
    </x:row>
    <x:row r="30">
      <x:c r="A30" s="5">
        <x:f>Settings!E30</x:f>
        <x:v>0</x:v>
      </x:c>
      <x:c r="B30" s="5">
        <x:f>Settings!F30</x:f>
        <x:v>0</x:v>
      </x:c>
      <x:c r="C30" s="5">
        <x:f>Settings!G30</x:f>
        <x:v>0</x:v>
      </x:c>
      <x:c r="D30" s="5">
        <x:f>IF($A30="","",COUNTIFS(TeamLead_Reports!$A:$A,Dashboard!$B$2,TeamLead_Reports!$D:$D,$B30))</x:f>
      </x:c>
      <x:c r="E30" s="5">
        <x:f>IF($A30="","",IFERROR(LOOKUP(2,1/((TeamLead_Reports!$A:$A=Dashboard!$B$2)*(TeamLead_Reports!$D:$D=$B30)),TeamLead_Reports!$V:$V),""))</x:f>
      </x:c>
      <x:c r="F30" s="5">
        <x:f>IF($A30="","",SUMIFS(TeamLead_Reports!$G:$G,TeamLead_Reports!$A:$A,Dashboard!$B$2,TeamLead_Reports!$D:$D,$B30))</x:f>
      </x:c>
      <x:c r="G30" s="5">
        <x:f>IF($A30="","",SUMIFS(TeamLead_Reports!$H:$H,TeamLead_Reports!$A:$A,Dashboard!$B$2,TeamLead_Reports!$D:$D,$B30))</x:f>
      </x:c>
      <x:c r="H30" s="5">
        <x:f>IF($A30="","",SUMIFS(TeamLead_Reports!$I:$I,TeamLead_Reports!$A:$A,Dashboard!$B$2,TeamLead_Reports!$D:$D,$B30))</x:f>
      </x:c>
      <x:c r="I30" s="5">
        <x:f>IF($A30="","",SUMIFS(TeamLead_Reports!$J:$J,TeamLead_Reports!$A:$A,Dashboard!$B$2,TeamLead_Reports!$D:$D,$B30))</x:f>
      </x:c>
      <x:c r="J30" s="5">
        <x:f>IF($A30="","",SUMIFS(TeamLead_Reports!$K:$K,TeamLead_Reports!$A:$A,Dashboard!$B$2,TeamLead_Reports!$D:$D,$B30))</x:f>
      </x:c>
      <x:c r="K30" s="5">
        <x:f>IF($A30="","",SUMIFS(TeamLead_Reports!$L:$L,TeamLead_Reports!$A:$A,Dashboard!$B$2,TeamLead_Reports!$D:$D,$B30))</x:f>
      </x:c>
      <x:c r="L30" s="5">
        <x:f>IF($A30="","",SUMIFS(TeamLead_Reports!$M:$M,TeamLead_Reports!$A:$A,Dashboard!$B$2,TeamLead_Reports!$D:$D,$B30))</x:f>
      </x:c>
      <x:c r="M30" s="5">
        <x:f>IF($A30="","",SUMIFS(TeamLead_Reports!$N:$N,TeamLead_Reports!$A:$A,Dashboard!$B$2,TeamLead_Reports!$D:$D,$B30))</x:f>
      </x:c>
      <x:c r="N30" s="5">
        <x:f>IF($A30="","",SUMIFS(TeamLead_Reports!$O:$O,TeamLead_Reports!$A:$A,Dashboard!$B$2,TeamLead_Reports!$D:$D,$B30))</x:f>
      </x:c>
      <x:c r="O30" s="5">
        <x:f>IF($A30="","",SUMIFS(TeamLead_Reports!$P:$P,TeamLead_Reports!$A:$A,Dashboard!$B$2,TeamLead_Reports!$D:$D,$B30))</x:f>
      </x:c>
      <x:c r="P30" s="5">
        <x:f>IF($A30="","",SUMIFS(TeamLead_Reports!$Q:$Q,TeamLead_Reports!$A:$A,Dashboard!$B$2,TeamLead_Reports!$D:$D,$B30))</x:f>
      </x:c>
      <x:c r="Q30" s="5">
        <x:f>IF($A30="","",SUMIFS(TeamLead_Reports!$R:$R,TeamLead_Reports!$A:$A,Dashboard!$B$2,TeamLead_Reports!$D:$D,$B30))</x:f>
      </x:c>
      <x:c r="R30" s="5">
        <x:f>IF($A30="","",SUMIFS(TeamLead_Reports!$S:$S,TeamLead_Reports!$A:$A,Dashboard!$B$2,TeamLead_Reports!$D:$D,$B30))</x:f>
      </x:c>
    </x:row>
    <x:row r="31">
      <x:c r="A31" s="5">
        <x:f>Settings!E31</x:f>
        <x:v>0</x:v>
      </x:c>
      <x:c r="B31" s="5">
        <x:f>Settings!F31</x:f>
        <x:v>0</x:v>
      </x:c>
      <x:c r="C31" s="5">
        <x:f>Settings!G31</x:f>
        <x:v>0</x:v>
      </x:c>
      <x:c r="D31" s="5">
        <x:f>IF($A31="","",COUNTIFS(TeamLead_Reports!$A:$A,Dashboard!$B$2,TeamLead_Reports!$D:$D,$B31))</x:f>
      </x:c>
      <x:c r="E31" s="5">
        <x:f>IF($A31="","",IFERROR(LOOKUP(2,1/((TeamLead_Reports!$A:$A=Dashboard!$B$2)*(TeamLead_Reports!$D:$D=$B31)),TeamLead_Reports!$V:$V),""))</x:f>
      </x:c>
      <x:c r="F31" s="5">
        <x:f>IF($A31="","",SUMIFS(TeamLead_Reports!$G:$G,TeamLead_Reports!$A:$A,Dashboard!$B$2,TeamLead_Reports!$D:$D,$B31))</x:f>
      </x:c>
      <x:c r="G31" s="5">
        <x:f>IF($A31="","",SUMIFS(TeamLead_Reports!$H:$H,TeamLead_Reports!$A:$A,Dashboard!$B$2,TeamLead_Reports!$D:$D,$B31))</x:f>
      </x:c>
      <x:c r="H31" s="5">
        <x:f>IF($A31="","",SUMIFS(TeamLead_Reports!$I:$I,TeamLead_Reports!$A:$A,Dashboard!$B$2,TeamLead_Reports!$D:$D,$B31))</x:f>
      </x:c>
      <x:c r="I31" s="5">
        <x:f>IF($A31="","",SUMIFS(TeamLead_Reports!$J:$J,TeamLead_Reports!$A:$A,Dashboard!$B$2,TeamLead_Reports!$D:$D,$B31))</x:f>
      </x:c>
      <x:c r="J31" s="5">
        <x:f>IF($A31="","",SUMIFS(TeamLead_Reports!$K:$K,TeamLead_Reports!$A:$A,Dashboard!$B$2,TeamLead_Reports!$D:$D,$B31))</x:f>
      </x:c>
      <x:c r="K31" s="5">
        <x:f>IF($A31="","",SUMIFS(TeamLead_Reports!$L:$L,TeamLead_Reports!$A:$A,Dashboard!$B$2,TeamLead_Reports!$D:$D,$B31))</x:f>
      </x:c>
      <x:c r="L31" s="5">
        <x:f>IF($A31="","",SUMIFS(TeamLead_Reports!$M:$M,TeamLead_Reports!$A:$A,Dashboard!$B$2,TeamLead_Reports!$D:$D,$B31))</x:f>
      </x:c>
      <x:c r="M31" s="5">
        <x:f>IF($A31="","",SUMIFS(TeamLead_Reports!$N:$N,TeamLead_Reports!$A:$A,Dashboard!$B$2,TeamLead_Reports!$D:$D,$B31))</x:f>
      </x:c>
      <x:c r="N31" s="5">
        <x:f>IF($A31="","",SUMIFS(TeamLead_Reports!$O:$O,TeamLead_Reports!$A:$A,Dashboard!$B$2,TeamLead_Reports!$D:$D,$B31))</x:f>
      </x:c>
      <x:c r="O31" s="5">
        <x:f>IF($A31="","",SUMIFS(TeamLead_Reports!$P:$P,TeamLead_Reports!$A:$A,Dashboard!$B$2,TeamLead_Reports!$D:$D,$B31))</x:f>
      </x:c>
      <x:c r="P31" s="5">
        <x:f>IF($A31="","",SUMIFS(TeamLead_Reports!$Q:$Q,TeamLead_Reports!$A:$A,Dashboard!$B$2,TeamLead_Reports!$D:$D,$B31))</x:f>
      </x:c>
      <x:c r="Q31" s="5">
        <x:f>IF($A31="","",SUMIFS(TeamLead_Reports!$R:$R,TeamLead_Reports!$A:$A,Dashboard!$B$2,TeamLead_Reports!$D:$D,$B31))</x:f>
      </x:c>
      <x:c r="R31" s="5">
        <x:f>IF($A31="","",SUMIFS(TeamLead_Reports!$S:$S,TeamLead_Reports!$A:$A,Dashboard!$B$2,TeamLead_Reports!$D:$D,$B31))</x:f>
      </x:c>
    </x:row>
    <x:row r="32">
      <x:c r="A32" s="5">
        <x:f>Settings!E32</x:f>
        <x:v>0</x:v>
      </x:c>
      <x:c r="B32" s="5">
        <x:f>Settings!F32</x:f>
        <x:v>0</x:v>
      </x:c>
      <x:c r="C32" s="5">
        <x:f>Settings!G32</x:f>
        <x:v>0</x:v>
      </x:c>
      <x:c r="D32" s="5">
        <x:f>IF($A32="","",COUNTIFS(TeamLead_Reports!$A:$A,Dashboard!$B$2,TeamLead_Reports!$D:$D,$B32))</x:f>
      </x:c>
      <x:c r="E32" s="5">
        <x:f>IF($A32="","",IFERROR(LOOKUP(2,1/((TeamLead_Reports!$A:$A=Dashboard!$B$2)*(TeamLead_Reports!$D:$D=$B32)),TeamLead_Reports!$V:$V),""))</x:f>
      </x:c>
      <x:c r="F32" s="5">
        <x:f>IF($A32="","",SUMIFS(TeamLead_Reports!$G:$G,TeamLead_Reports!$A:$A,Dashboard!$B$2,TeamLead_Reports!$D:$D,$B32))</x:f>
      </x:c>
      <x:c r="G32" s="5">
        <x:f>IF($A32="","",SUMIFS(TeamLead_Reports!$H:$H,TeamLead_Reports!$A:$A,Dashboard!$B$2,TeamLead_Reports!$D:$D,$B32))</x:f>
      </x:c>
      <x:c r="H32" s="5">
        <x:f>IF($A32="","",SUMIFS(TeamLead_Reports!$I:$I,TeamLead_Reports!$A:$A,Dashboard!$B$2,TeamLead_Reports!$D:$D,$B32))</x:f>
      </x:c>
      <x:c r="I32" s="5">
        <x:f>IF($A32="","",SUMIFS(TeamLead_Reports!$J:$J,TeamLead_Reports!$A:$A,Dashboard!$B$2,TeamLead_Reports!$D:$D,$B32))</x:f>
      </x:c>
      <x:c r="J32" s="5">
        <x:f>IF($A32="","",SUMIFS(TeamLead_Reports!$K:$K,TeamLead_Reports!$A:$A,Dashboard!$B$2,TeamLead_Reports!$D:$D,$B32))</x:f>
      </x:c>
      <x:c r="K32" s="5">
        <x:f>IF($A32="","",SUMIFS(TeamLead_Reports!$L:$L,TeamLead_Reports!$A:$A,Dashboard!$B$2,TeamLead_Reports!$D:$D,$B32))</x:f>
      </x:c>
      <x:c r="L32" s="5">
        <x:f>IF($A32="","",SUMIFS(TeamLead_Reports!$M:$M,TeamLead_Reports!$A:$A,Dashboard!$B$2,TeamLead_Reports!$D:$D,$B32))</x:f>
      </x:c>
      <x:c r="M32" s="5">
        <x:f>IF($A32="","",SUMIFS(TeamLead_Reports!$N:$N,TeamLead_Reports!$A:$A,Dashboard!$B$2,TeamLead_Reports!$D:$D,$B32))</x:f>
      </x:c>
      <x:c r="N32" s="5">
        <x:f>IF($A32="","",SUMIFS(TeamLead_Reports!$O:$O,TeamLead_Reports!$A:$A,Dashboard!$B$2,TeamLead_Reports!$D:$D,$B32))</x:f>
      </x:c>
      <x:c r="O32" s="5">
        <x:f>IF($A32="","",SUMIFS(TeamLead_Reports!$P:$P,TeamLead_Reports!$A:$A,Dashboard!$B$2,TeamLead_Reports!$D:$D,$B32))</x:f>
      </x:c>
      <x:c r="P32" s="5">
        <x:f>IF($A32="","",SUMIFS(TeamLead_Reports!$Q:$Q,TeamLead_Reports!$A:$A,Dashboard!$B$2,TeamLead_Reports!$D:$D,$B32))</x:f>
      </x:c>
      <x:c r="Q32" s="5">
        <x:f>IF($A32="","",SUMIFS(TeamLead_Reports!$R:$R,TeamLead_Reports!$A:$A,Dashboard!$B$2,TeamLead_Reports!$D:$D,$B32))</x:f>
      </x:c>
      <x:c r="R32" s="5">
        <x:f>IF($A32="","",SUMIFS(TeamLead_Reports!$S:$S,TeamLead_Reports!$A:$A,Dashboard!$B$2,TeamLead_Reports!$D:$D,$B32))</x:f>
      </x:c>
    </x:row>
    <x:row r="33">
      <x:c r="A33" s="5">
        <x:f>Settings!E33</x:f>
        <x:v>0</x:v>
      </x:c>
      <x:c r="B33" s="5">
        <x:f>Settings!F33</x:f>
        <x:v>0</x:v>
      </x:c>
      <x:c r="C33" s="5">
        <x:f>Settings!G33</x:f>
        <x:v>0</x:v>
      </x:c>
      <x:c r="D33" s="5">
        <x:f>IF($A33="","",COUNTIFS(TeamLead_Reports!$A:$A,Dashboard!$B$2,TeamLead_Reports!$D:$D,$B33))</x:f>
      </x:c>
      <x:c r="E33" s="5">
        <x:f>IF($A33="","",IFERROR(LOOKUP(2,1/((TeamLead_Reports!$A:$A=Dashboard!$B$2)*(TeamLead_Reports!$D:$D=$B33)),TeamLead_Reports!$V:$V),""))</x:f>
      </x:c>
      <x:c r="F33" s="5">
        <x:f>IF($A33="","",SUMIFS(TeamLead_Reports!$G:$G,TeamLead_Reports!$A:$A,Dashboard!$B$2,TeamLead_Reports!$D:$D,$B33))</x:f>
      </x:c>
      <x:c r="G33" s="5">
        <x:f>IF($A33="","",SUMIFS(TeamLead_Reports!$H:$H,TeamLead_Reports!$A:$A,Dashboard!$B$2,TeamLead_Reports!$D:$D,$B33))</x:f>
      </x:c>
      <x:c r="H33" s="5">
        <x:f>IF($A33="","",SUMIFS(TeamLead_Reports!$I:$I,TeamLead_Reports!$A:$A,Dashboard!$B$2,TeamLead_Reports!$D:$D,$B33))</x:f>
      </x:c>
      <x:c r="I33" s="5">
        <x:f>IF($A33="","",SUMIFS(TeamLead_Reports!$J:$J,TeamLead_Reports!$A:$A,Dashboard!$B$2,TeamLead_Reports!$D:$D,$B33))</x:f>
      </x:c>
      <x:c r="J33" s="5">
        <x:f>IF($A33="","",SUMIFS(TeamLead_Reports!$K:$K,TeamLead_Reports!$A:$A,Dashboard!$B$2,TeamLead_Reports!$D:$D,$B33))</x:f>
      </x:c>
      <x:c r="K33" s="5">
        <x:f>IF($A33="","",SUMIFS(TeamLead_Reports!$L:$L,TeamLead_Reports!$A:$A,Dashboard!$B$2,TeamLead_Reports!$D:$D,$B33))</x:f>
      </x:c>
      <x:c r="L33" s="5">
        <x:f>IF($A33="","",SUMIFS(TeamLead_Reports!$M:$M,TeamLead_Reports!$A:$A,Dashboard!$B$2,TeamLead_Reports!$D:$D,$B33))</x:f>
      </x:c>
      <x:c r="M33" s="5">
        <x:f>IF($A33="","",SUMIFS(TeamLead_Reports!$N:$N,TeamLead_Reports!$A:$A,Dashboard!$B$2,TeamLead_Reports!$D:$D,$B33))</x:f>
      </x:c>
      <x:c r="N33" s="5">
        <x:f>IF($A33="","",SUMIFS(TeamLead_Reports!$O:$O,TeamLead_Reports!$A:$A,Dashboard!$B$2,TeamLead_Reports!$D:$D,$B33))</x:f>
      </x:c>
      <x:c r="O33" s="5">
        <x:f>IF($A33="","",SUMIFS(TeamLead_Reports!$P:$P,TeamLead_Reports!$A:$A,Dashboard!$B$2,TeamLead_Reports!$D:$D,$B33))</x:f>
      </x:c>
      <x:c r="P33" s="5">
        <x:f>IF($A33="","",SUMIFS(TeamLead_Reports!$Q:$Q,TeamLead_Reports!$A:$A,Dashboard!$B$2,TeamLead_Reports!$D:$D,$B33))</x:f>
      </x:c>
      <x:c r="Q33" s="5">
        <x:f>IF($A33="","",SUMIFS(TeamLead_Reports!$R:$R,TeamLead_Reports!$A:$A,Dashboard!$B$2,TeamLead_Reports!$D:$D,$B33))</x:f>
      </x:c>
      <x:c r="R33" s="5">
        <x:f>IF($A33="","",SUMIFS(TeamLead_Reports!$S:$S,TeamLead_Reports!$A:$A,Dashboard!$B$2,TeamLead_Reports!$D:$D,$B33))</x:f>
      </x:c>
    </x:row>
    <x:row r="34">
      <x:c r="A34" s="5">
        <x:f>Settings!E34</x:f>
        <x:v>0</x:v>
      </x:c>
      <x:c r="B34" s="5">
        <x:f>Settings!F34</x:f>
        <x:v>0</x:v>
      </x:c>
      <x:c r="C34" s="5">
        <x:f>Settings!G34</x:f>
        <x:v>0</x:v>
      </x:c>
      <x:c r="D34" s="5">
        <x:f>IF($A34="","",COUNTIFS(TeamLead_Reports!$A:$A,Dashboard!$B$2,TeamLead_Reports!$D:$D,$B34))</x:f>
      </x:c>
      <x:c r="E34" s="5">
        <x:f>IF($A34="","",IFERROR(LOOKUP(2,1/((TeamLead_Reports!$A:$A=Dashboard!$B$2)*(TeamLead_Reports!$D:$D=$B34)),TeamLead_Reports!$V:$V),""))</x:f>
      </x:c>
      <x:c r="F34" s="5">
        <x:f>IF($A34="","",SUMIFS(TeamLead_Reports!$G:$G,TeamLead_Reports!$A:$A,Dashboard!$B$2,TeamLead_Reports!$D:$D,$B34))</x:f>
      </x:c>
      <x:c r="G34" s="5">
        <x:f>IF($A34="","",SUMIFS(TeamLead_Reports!$H:$H,TeamLead_Reports!$A:$A,Dashboard!$B$2,TeamLead_Reports!$D:$D,$B34))</x:f>
      </x:c>
      <x:c r="H34" s="5">
        <x:f>IF($A34="","",SUMIFS(TeamLead_Reports!$I:$I,TeamLead_Reports!$A:$A,Dashboard!$B$2,TeamLead_Reports!$D:$D,$B34))</x:f>
      </x:c>
      <x:c r="I34" s="5">
        <x:f>IF($A34="","",SUMIFS(TeamLead_Reports!$J:$J,TeamLead_Reports!$A:$A,Dashboard!$B$2,TeamLead_Reports!$D:$D,$B34))</x:f>
      </x:c>
      <x:c r="J34" s="5">
        <x:f>IF($A34="","",SUMIFS(TeamLead_Reports!$K:$K,TeamLead_Reports!$A:$A,Dashboard!$B$2,TeamLead_Reports!$D:$D,$B34))</x:f>
      </x:c>
      <x:c r="K34" s="5">
        <x:f>IF($A34="","",SUMIFS(TeamLead_Reports!$L:$L,TeamLead_Reports!$A:$A,Dashboard!$B$2,TeamLead_Reports!$D:$D,$B34))</x:f>
      </x:c>
      <x:c r="L34" s="5">
        <x:f>IF($A34="","",SUMIFS(TeamLead_Reports!$M:$M,TeamLead_Reports!$A:$A,Dashboard!$B$2,TeamLead_Reports!$D:$D,$B34))</x:f>
      </x:c>
      <x:c r="M34" s="5">
        <x:f>IF($A34="","",SUMIFS(TeamLead_Reports!$N:$N,TeamLead_Reports!$A:$A,Dashboard!$B$2,TeamLead_Reports!$D:$D,$B34))</x:f>
      </x:c>
      <x:c r="N34" s="5">
        <x:f>IF($A34="","",SUMIFS(TeamLead_Reports!$O:$O,TeamLead_Reports!$A:$A,Dashboard!$B$2,TeamLead_Reports!$D:$D,$B34))</x:f>
      </x:c>
      <x:c r="O34" s="5">
        <x:f>IF($A34="","",SUMIFS(TeamLead_Reports!$P:$P,TeamLead_Reports!$A:$A,Dashboard!$B$2,TeamLead_Reports!$D:$D,$B34))</x:f>
      </x:c>
      <x:c r="P34" s="5">
        <x:f>IF($A34="","",SUMIFS(TeamLead_Reports!$Q:$Q,TeamLead_Reports!$A:$A,Dashboard!$B$2,TeamLead_Reports!$D:$D,$B34))</x:f>
      </x:c>
      <x:c r="Q34" s="5">
        <x:f>IF($A34="","",SUMIFS(TeamLead_Reports!$R:$R,TeamLead_Reports!$A:$A,Dashboard!$B$2,TeamLead_Reports!$D:$D,$B34))</x:f>
      </x:c>
      <x:c r="R34" s="5">
        <x:f>IF($A34="","",SUMIFS(TeamLead_Reports!$S:$S,TeamLead_Reports!$A:$A,Dashboard!$B$2,TeamLead_Reports!$D:$D,$B34))</x:f>
      </x:c>
    </x:row>
    <x:row r="35">
      <x:c r="A35" s="5">
        <x:f>Settings!E35</x:f>
        <x:v>0</x:v>
      </x:c>
      <x:c r="B35" s="5">
        <x:f>Settings!F35</x:f>
        <x:v>0</x:v>
      </x:c>
      <x:c r="C35" s="5">
        <x:f>Settings!G35</x:f>
        <x:v>0</x:v>
      </x:c>
      <x:c r="D35" s="5">
        <x:f>IF($A35="","",COUNTIFS(TeamLead_Reports!$A:$A,Dashboard!$B$2,TeamLead_Reports!$D:$D,$B35))</x:f>
      </x:c>
      <x:c r="E35" s="5">
        <x:f>IF($A35="","",IFERROR(LOOKUP(2,1/((TeamLead_Reports!$A:$A=Dashboard!$B$2)*(TeamLead_Reports!$D:$D=$B35)),TeamLead_Reports!$V:$V),""))</x:f>
      </x:c>
      <x:c r="F35" s="5">
        <x:f>IF($A35="","",SUMIFS(TeamLead_Reports!$G:$G,TeamLead_Reports!$A:$A,Dashboard!$B$2,TeamLead_Reports!$D:$D,$B35))</x:f>
      </x:c>
      <x:c r="G35" s="5">
        <x:f>IF($A35="","",SUMIFS(TeamLead_Reports!$H:$H,TeamLead_Reports!$A:$A,Dashboard!$B$2,TeamLead_Reports!$D:$D,$B35))</x:f>
      </x:c>
      <x:c r="H35" s="5">
        <x:f>IF($A35="","",SUMIFS(TeamLead_Reports!$I:$I,TeamLead_Reports!$A:$A,Dashboard!$B$2,TeamLead_Reports!$D:$D,$B35))</x:f>
      </x:c>
      <x:c r="I35" s="5">
        <x:f>IF($A35="","",SUMIFS(TeamLead_Reports!$J:$J,TeamLead_Reports!$A:$A,Dashboard!$B$2,TeamLead_Reports!$D:$D,$B35))</x:f>
      </x:c>
      <x:c r="J35" s="5">
        <x:f>IF($A35="","",SUMIFS(TeamLead_Reports!$K:$K,TeamLead_Reports!$A:$A,Dashboard!$B$2,TeamLead_Reports!$D:$D,$B35))</x:f>
      </x:c>
      <x:c r="K35" s="5">
        <x:f>IF($A35="","",SUMIFS(TeamLead_Reports!$L:$L,TeamLead_Reports!$A:$A,Dashboard!$B$2,TeamLead_Reports!$D:$D,$B35))</x:f>
      </x:c>
      <x:c r="L35" s="5">
        <x:f>IF($A35="","",SUMIFS(TeamLead_Reports!$M:$M,TeamLead_Reports!$A:$A,Dashboard!$B$2,TeamLead_Reports!$D:$D,$B35))</x:f>
      </x:c>
      <x:c r="M35" s="5">
        <x:f>IF($A35="","",SUMIFS(TeamLead_Reports!$N:$N,TeamLead_Reports!$A:$A,Dashboard!$B$2,TeamLead_Reports!$D:$D,$B35))</x:f>
      </x:c>
      <x:c r="N35" s="5">
        <x:f>IF($A35="","",SUMIFS(TeamLead_Reports!$O:$O,TeamLead_Reports!$A:$A,Dashboard!$B$2,TeamLead_Reports!$D:$D,$B35))</x:f>
      </x:c>
      <x:c r="O35" s="5">
        <x:f>IF($A35="","",SUMIFS(TeamLead_Reports!$P:$P,TeamLead_Reports!$A:$A,Dashboard!$B$2,TeamLead_Reports!$D:$D,$B35))</x:f>
      </x:c>
      <x:c r="P35" s="5">
        <x:f>IF($A35="","",SUMIFS(TeamLead_Reports!$Q:$Q,TeamLead_Reports!$A:$A,Dashboard!$B$2,TeamLead_Reports!$D:$D,$B35))</x:f>
      </x:c>
      <x:c r="Q35" s="5">
        <x:f>IF($A35="","",SUMIFS(TeamLead_Reports!$R:$R,TeamLead_Reports!$A:$A,Dashboard!$B$2,TeamLead_Reports!$D:$D,$B35))</x:f>
      </x:c>
      <x:c r="R35" s="5">
        <x:f>IF($A35="","",SUMIFS(TeamLead_Reports!$S:$S,TeamLead_Reports!$A:$A,Dashboard!$B$2,TeamLead_Reports!$D:$D,$B35))</x:f>
      </x:c>
    </x:row>
    <x:row r="36">
      <x:c r="A36" s="5">
        <x:f>Settings!E36</x:f>
        <x:v>0</x:v>
      </x:c>
      <x:c r="B36" s="5">
        <x:f>Settings!F36</x:f>
        <x:v>0</x:v>
      </x:c>
      <x:c r="C36" s="5">
        <x:f>Settings!G36</x:f>
        <x:v>0</x:v>
      </x:c>
      <x:c r="D36" s="5">
        <x:f>IF($A36="","",COUNTIFS(TeamLead_Reports!$A:$A,Dashboard!$B$2,TeamLead_Reports!$D:$D,$B36))</x:f>
      </x:c>
      <x:c r="E36" s="5">
        <x:f>IF($A36="","",IFERROR(LOOKUP(2,1/((TeamLead_Reports!$A:$A=Dashboard!$B$2)*(TeamLead_Reports!$D:$D=$B36)),TeamLead_Reports!$V:$V),""))</x:f>
      </x:c>
      <x:c r="F36" s="5">
        <x:f>IF($A36="","",SUMIFS(TeamLead_Reports!$G:$G,TeamLead_Reports!$A:$A,Dashboard!$B$2,TeamLead_Reports!$D:$D,$B36))</x:f>
      </x:c>
      <x:c r="G36" s="5">
        <x:f>IF($A36="","",SUMIFS(TeamLead_Reports!$H:$H,TeamLead_Reports!$A:$A,Dashboard!$B$2,TeamLead_Reports!$D:$D,$B36))</x:f>
      </x:c>
      <x:c r="H36" s="5">
        <x:f>IF($A36="","",SUMIFS(TeamLead_Reports!$I:$I,TeamLead_Reports!$A:$A,Dashboard!$B$2,TeamLead_Reports!$D:$D,$B36))</x:f>
      </x:c>
      <x:c r="I36" s="5">
        <x:f>IF($A36="","",SUMIFS(TeamLead_Reports!$J:$J,TeamLead_Reports!$A:$A,Dashboard!$B$2,TeamLead_Reports!$D:$D,$B36))</x:f>
      </x:c>
      <x:c r="J36" s="5">
        <x:f>IF($A36="","",SUMIFS(TeamLead_Reports!$K:$K,TeamLead_Reports!$A:$A,Dashboard!$B$2,TeamLead_Reports!$D:$D,$B36))</x:f>
      </x:c>
      <x:c r="K36" s="5">
        <x:f>IF($A36="","",SUMIFS(TeamLead_Reports!$L:$L,TeamLead_Reports!$A:$A,Dashboard!$B$2,TeamLead_Reports!$D:$D,$B36))</x:f>
      </x:c>
      <x:c r="L36" s="5">
        <x:f>IF($A36="","",SUMIFS(TeamLead_Reports!$M:$M,TeamLead_Reports!$A:$A,Dashboard!$B$2,TeamLead_Reports!$D:$D,$B36))</x:f>
      </x:c>
      <x:c r="M36" s="5">
        <x:f>IF($A36="","",SUMIFS(TeamLead_Reports!$N:$N,TeamLead_Reports!$A:$A,Dashboard!$B$2,TeamLead_Reports!$D:$D,$B36))</x:f>
      </x:c>
      <x:c r="N36" s="5">
        <x:f>IF($A36="","",SUMIFS(TeamLead_Reports!$O:$O,TeamLead_Reports!$A:$A,Dashboard!$B$2,TeamLead_Reports!$D:$D,$B36))</x:f>
      </x:c>
      <x:c r="O36" s="5">
        <x:f>IF($A36="","",SUMIFS(TeamLead_Reports!$P:$P,TeamLead_Reports!$A:$A,Dashboard!$B$2,TeamLead_Reports!$D:$D,$B36))</x:f>
      </x:c>
      <x:c r="P36" s="5">
        <x:f>IF($A36="","",SUMIFS(TeamLead_Reports!$Q:$Q,TeamLead_Reports!$A:$A,Dashboard!$B$2,TeamLead_Reports!$D:$D,$B36))</x:f>
      </x:c>
      <x:c r="Q36" s="5">
        <x:f>IF($A36="","",SUMIFS(TeamLead_Reports!$R:$R,TeamLead_Reports!$A:$A,Dashboard!$B$2,TeamLead_Reports!$D:$D,$B36))</x:f>
      </x:c>
      <x:c r="R36" s="5">
        <x:f>IF($A36="","",SUMIFS(TeamLead_Reports!$S:$S,TeamLead_Reports!$A:$A,Dashboard!$B$2,TeamLead_Reports!$D:$D,$B36))</x:f>
      </x:c>
    </x:row>
    <x:row r="37">
      <x:c r="A37" s="5">
        <x:f>Settings!E37</x:f>
        <x:v>0</x:v>
      </x:c>
      <x:c r="B37" s="5">
        <x:f>Settings!F37</x:f>
        <x:v>0</x:v>
      </x:c>
      <x:c r="C37" s="5">
        <x:f>Settings!G37</x:f>
        <x:v>0</x:v>
      </x:c>
      <x:c r="D37" s="5">
        <x:f>IF($A37="","",COUNTIFS(TeamLead_Reports!$A:$A,Dashboard!$B$2,TeamLead_Reports!$D:$D,$B37))</x:f>
      </x:c>
      <x:c r="E37" s="5">
        <x:f>IF($A37="","",IFERROR(LOOKUP(2,1/((TeamLead_Reports!$A:$A=Dashboard!$B$2)*(TeamLead_Reports!$D:$D=$B37)),TeamLead_Reports!$V:$V),""))</x:f>
      </x:c>
      <x:c r="F37" s="5">
        <x:f>IF($A37="","",SUMIFS(TeamLead_Reports!$G:$G,TeamLead_Reports!$A:$A,Dashboard!$B$2,TeamLead_Reports!$D:$D,$B37))</x:f>
      </x:c>
      <x:c r="G37" s="5">
        <x:f>IF($A37="","",SUMIFS(TeamLead_Reports!$H:$H,TeamLead_Reports!$A:$A,Dashboard!$B$2,TeamLead_Reports!$D:$D,$B37))</x:f>
      </x:c>
      <x:c r="H37" s="5">
        <x:f>IF($A37="","",SUMIFS(TeamLead_Reports!$I:$I,TeamLead_Reports!$A:$A,Dashboard!$B$2,TeamLead_Reports!$D:$D,$B37))</x:f>
      </x:c>
      <x:c r="I37" s="5">
        <x:f>IF($A37="","",SUMIFS(TeamLead_Reports!$J:$J,TeamLead_Reports!$A:$A,Dashboard!$B$2,TeamLead_Reports!$D:$D,$B37))</x:f>
      </x:c>
      <x:c r="J37" s="5">
        <x:f>IF($A37="","",SUMIFS(TeamLead_Reports!$K:$K,TeamLead_Reports!$A:$A,Dashboard!$B$2,TeamLead_Reports!$D:$D,$B37))</x:f>
      </x:c>
      <x:c r="K37" s="5">
        <x:f>IF($A37="","",SUMIFS(TeamLead_Reports!$L:$L,TeamLead_Reports!$A:$A,Dashboard!$B$2,TeamLead_Reports!$D:$D,$B37))</x:f>
      </x:c>
      <x:c r="L37" s="5">
        <x:f>IF($A37="","",SUMIFS(TeamLead_Reports!$M:$M,TeamLead_Reports!$A:$A,Dashboard!$B$2,TeamLead_Reports!$D:$D,$B37))</x:f>
      </x:c>
      <x:c r="M37" s="5">
        <x:f>IF($A37="","",SUMIFS(TeamLead_Reports!$N:$N,TeamLead_Reports!$A:$A,Dashboard!$B$2,TeamLead_Reports!$D:$D,$B37))</x:f>
      </x:c>
      <x:c r="N37" s="5">
        <x:f>IF($A37="","",SUMIFS(TeamLead_Reports!$O:$O,TeamLead_Reports!$A:$A,Dashboard!$B$2,TeamLead_Reports!$D:$D,$B37))</x:f>
      </x:c>
      <x:c r="O37" s="5">
        <x:f>IF($A37="","",SUMIFS(TeamLead_Reports!$P:$P,TeamLead_Reports!$A:$A,Dashboard!$B$2,TeamLead_Reports!$D:$D,$B37))</x:f>
      </x:c>
      <x:c r="P37" s="5">
        <x:f>IF($A37="","",SUMIFS(TeamLead_Reports!$Q:$Q,TeamLead_Reports!$A:$A,Dashboard!$B$2,TeamLead_Reports!$D:$D,$B37))</x:f>
      </x:c>
      <x:c r="Q37" s="5">
        <x:f>IF($A37="","",SUMIFS(TeamLead_Reports!$R:$R,TeamLead_Reports!$A:$A,Dashboard!$B$2,TeamLead_Reports!$D:$D,$B37))</x:f>
      </x:c>
      <x:c r="R37" s="5">
        <x:f>IF($A37="","",SUMIFS(TeamLead_Reports!$S:$S,TeamLead_Reports!$A:$A,Dashboard!$B$2,TeamLead_Reports!$D:$D,$B37))</x:f>
      </x:c>
    </x:row>
    <x:row r="38">
      <x:c r="A38" s="5">
        <x:f>Settings!E38</x:f>
        <x:v>0</x:v>
      </x:c>
      <x:c r="B38" s="5">
        <x:f>Settings!F38</x:f>
        <x:v>0</x:v>
      </x:c>
      <x:c r="C38" s="5">
        <x:f>Settings!G38</x:f>
        <x:v>0</x:v>
      </x:c>
      <x:c r="D38" s="5">
        <x:f>IF($A38="","",COUNTIFS(TeamLead_Reports!$A:$A,Dashboard!$B$2,TeamLead_Reports!$D:$D,$B38))</x:f>
      </x:c>
      <x:c r="E38" s="5">
        <x:f>IF($A38="","",IFERROR(LOOKUP(2,1/((TeamLead_Reports!$A:$A=Dashboard!$B$2)*(TeamLead_Reports!$D:$D=$B38)),TeamLead_Reports!$V:$V),""))</x:f>
      </x:c>
      <x:c r="F38" s="5">
        <x:f>IF($A38="","",SUMIFS(TeamLead_Reports!$G:$G,TeamLead_Reports!$A:$A,Dashboard!$B$2,TeamLead_Reports!$D:$D,$B38))</x:f>
      </x:c>
      <x:c r="G38" s="5">
        <x:f>IF($A38="","",SUMIFS(TeamLead_Reports!$H:$H,TeamLead_Reports!$A:$A,Dashboard!$B$2,TeamLead_Reports!$D:$D,$B38))</x:f>
      </x:c>
      <x:c r="H38" s="5">
        <x:f>IF($A38="","",SUMIFS(TeamLead_Reports!$I:$I,TeamLead_Reports!$A:$A,Dashboard!$B$2,TeamLead_Reports!$D:$D,$B38))</x:f>
      </x:c>
      <x:c r="I38" s="5">
        <x:f>IF($A38="","",SUMIFS(TeamLead_Reports!$J:$J,TeamLead_Reports!$A:$A,Dashboard!$B$2,TeamLead_Reports!$D:$D,$B38))</x:f>
      </x:c>
      <x:c r="J38" s="5">
        <x:f>IF($A38="","",SUMIFS(TeamLead_Reports!$K:$K,TeamLead_Reports!$A:$A,Dashboard!$B$2,TeamLead_Reports!$D:$D,$B38))</x:f>
      </x:c>
      <x:c r="K38" s="5">
        <x:f>IF($A38="","",SUMIFS(TeamLead_Reports!$L:$L,TeamLead_Reports!$A:$A,Dashboard!$B$2,TeamLead_Reports!$D:$D,$B38))</x:f>
      </x:c>
      <x:c r="L38" s="5">
        <x:f>IF($A38="","",SUMIFS(TeamLead_Reports!$M:$M,TeamLead_Reports!$A:$A,Dashboard!$B$2,TeamLead_Reports!$D:$D,$B38))</x:f>
      </x:c>
      <x:c r="M38" s="5">
        <x:f>IF($A38="","",SUMIFS(TeamLead_Reports!$N:$N,TeamLead_Reports!$A:$A,Dashboard!$B$2,TeamLead_Reports!$D:$D,$B38))</x:f>
      </x:c>
      <x:c r="N38" s="5">
        <x:f>IF($A38="","",SUMIFS(TeamLead_Reports!$O:$O,TeamLead_Reports!$A:$A,Dashboard!$B$2,TeamLead_Reports!$D:$D,$B38))</x:f>
      </x:c>
      <x:c r="O38" s="5">
        <x:f>IF($A38="","",SUMIFS(TeamLead_Reports!$P:$P,TeamLead_Reports!$A:$A,Dashboard!$B$2,TeamLead_Reports!$D:$D,$B38))</x:f>
      </x:c>
      <x:c r="P38" s="5">
        <x:f>IF($A38="","",SUMIFS(TeamLead_Reports!$Q:$Q,TeamLead_Reports!$A:$A,Dashboard!$B$2,TeamLead_Reports!$D:$D,$B38))</x:f>
      </x:c>
      <x:c r="Q38" s="5">
        <x:f>IF($A38="","",SUMIFS(TeamLead_Reports!$R:$R,TeamLead_Reports!$A:$A,Dashboard!$B$2,TeamLead_Reports!$D:$D,$B38))</x:f>
      </x:c>
      <x:c r="R38" s="5">
        <x:f>IF($A38="","",SUMIFS(TeamLead_Reports!$S:$S,TeamLead_Reports!$A:$A,Dashboard!$B$2,TeamLead_Reports!$D:$D,$B38))</x:f>
      </x:c>
    </x:row>
    <x:row r="39">
      <x:c r="A39" s="5">
        <x:f>Settings!E39</x:f>
        <x:v>0</x:v>
      </x:c>
      <x:c r="B39" s="5">
        <x:f>Settings!F39</x:f>
        <x:v>0</x:v>
      </x:c>
      <x:c r="C39" s="5">
        <x:f>Settings!G39</x:f>
        <x:v>0</x:v>
      </x:c>
      <x:c r="D39" s="5">
        <x:f>IF($A39="","",COUNTIFS(TeamLead_Reports!$A:$A,Dashboard!$B$2,TeamLead_Reports!$D:$D,$B39))</x:f>
      </x:c>
      <x:c r="E39" s="5">
        <x:f>IF($A39="","",IFERROR(LOOKUP(2,1/((TeamLead_Reports!$A:$A=Dashboard!$B$2)*(TeamLead_Reports!$D:$D=$B39)),TeamLead_Reports!$V:$V),""))</x:f>
      </x:c>
      <x:c r="F39" s="5">
        <x:f>IF($A39="","",SUMIFS(TeamLead_Reports!$G:$G,TeamLead_Reports!$A:$A,Dashboard!$B$2,TeamLead_Reports!$D:$D,$B39))</x:f>
      </x:c>
      <x:c r="G39" s="5">
        <x:f>IF($A39="","",SUMIFS(TeamLead_Reports!$H:$H,TeamLead_Reports!$A:$A,Dashboard!$B$2,TeamLead_Reports!$D:$D,$B39))</x:f>
      </x:c>
      <x:c r="H39" s="5">
        <x:f>IF($A39="","",SUMIFS(TeamLead_Reports!$I:$I,TeamLead_Reports!$A:$A,Dashboard!$B$2,TeamLead_Reports!$D:$D,$B39))</x:f>
      </x:c>
      <x:c r="I39" s="5">
        <x:f>IF($A39="","",SUMIFS(TeamLead_Reports!$J:$J,TeamLead_Reports!$A:$A,Dashboard!$B$2,TeamLead_Reports!$D:$D,$B39))</x:f>
      </x:c>
      <x:c r="J39" s="5">
        <x:f>IF($A39="","",SUMIFS(TeamLead_Reports!$K:$K,TeamLead_Reports!$A:$A,Dashboard!$B$2,TeamLead_Reports!$D:$D,$B39))</x:f>
      </x:c>
      <x:c r="K39" s="5">
        <x:f>IF($A39="","",SUMIFS(TeamLead_Reports!$L:$L,TeamLead_Reports!$A:$A,Dashboard!$B$2,TeamLead_Reports!$D:$D,$B39))</x:f>
      </x:c>
      <x:c r="L39" s="5">
        <x:f>IF($A39="","",SUMIFS(TeamLead_Reports!$M:$M,TeamLead_Reports!$A:$A,Dashboard!$B$2,TeamLead_Reports!$D:$D,$B39))</x:f>
      </x:c>
      <x:c r="M39" s="5">
        <x:f>IF($A39="","",SUMIFS(TeamLead_Reports!$N:$N,TeamLead_Reports!$A:$A,Dashboard!$B$2,TeamLead_Reports!$D:$D,$B39))</x:f>
      </x:c>
      <x:c r="N39" s="5">
        <x:f>IF($A39="","",SUMIFS(TeamLead_Reports!$O:$O,TeamLead_Reports!$A:$A,Dashboard!$B$2,TeamLead_Reports!$D:$D,$B39))</x:f>
      </x:c>
      <x:c r="O39" s="5">
        <x:f>IF($A39="","",SUMIFS(TeamLead_Reports!$P:$P,TeamLead_Reports!$A:$A,Dashboard!$B$2,TeamLead_Reports!$D:$D,$B39))</x:f>
      </x:c>
      <x:c r="P39" s="5">
        <x:f>IF($A39="","",SUMIFS(TeamLead_Reports!$Q:$Q,TeamLead_Reports!$A:$A,Dashboard!$B$2,TeamLead_Reports!$D:$D,$B39))</x:f>
      </x:c>
      <x:c r="Q39" s="5">
        <x:f>IF($A39="","",SUMIFS(TeamLead_Reports!$R:$R,TeamLead_Reports!$A:$A,Dashboard!$B$2,TeamLead_Reports!$D:$D,$B39))</x:f>
      </x:c>
      <x:c r="R39" s="5">
        <x:f>IF($A39="","",SUMIFS(TeamLead_Reports!$S:$S,TeamLead_Reports!$A:$A,Dashboard!$B$2,TeamLead_Reports!$D:$D,$B39))</x:f>
      </x:c>
    </x:row>
    <x:row r="40">
      <x:c r="A40" s="5">
        <x:f>Settings!E40</x:f>
        <x:v>0</x:v>
      </x:c>
      <x:c r="B40" s="5">
        <x:f>Settings!F40</x:f>
        <x:v>0</x:v>
      </x:c>
      <x:c r="C40" s="5">
        <x:f>Settings!G40</x:f>
        <x:v>0</x:v>
      </x:c>
      <x:c r="D40" s="5">
        <x:f>IF($A40="","",COUNTIFS(TeamLead_Reports!$A:$A,Dashboard!$B$2,TeamLead_Reports!$D:$D,$B40))</x:f>
      </x:c>
      <x:c r="E40" s="5">
        <x:f>IF($A40="","",IFERROR(LOOKUP(2,1/((TeamLead_Reports!$A:$A=Dashboard!$B$2)*(TeamLead_Reports!$D:$D=$B40)),TeamLead_Reports!$V:$V),""))</x:f>
      </x:c>
      <x:c r="F40" s="5">
        <x:f>IF($A40="","",SUMIFS(TeamLead_Reports!$G:$G,TeamLead_Reports!$A:$A,Dashboard!$B$2,TeamLead_Reports!$D:$D,$B40))</x:f>
      </x:c>
      <x:c r="G40" s="5">
        <x:f>IF($A40="","",SUMIFS(TeamLead_Reports!$H:$H,TeamLead_Reports!$A:$A,Dashboard!$B$2,TeamLead_Reports!$D:$D,$B40))</x:f>
      </x:c>
      <x:c r="H40" s="5">
        <x:f>IF($A40="","",SUMIFS(TeamLead_Reports!$I:$I,TeamLead_Reports!$A:$A,Dashboard!$B$2,TeamLead_Reports!$D:$D,$B40))</x:f>
      </x:c>
      <x:c r="I40" s="5">
        <x:f>IF($A40="","",SUMIFS(TeamLead_Reports!$J:$J,TeamLead_Reports!$A:$A,Dashboard!$B$2,TeamLead_Reports!$D:$D,$B40))</x:f>
      </x:c>
      <x:c r="J40" s="5">
        <x:f>IF($A40="","",SUMIFS(TeamLead_Reports!$K:$K,TeamLead_Reports!$A:$A,Dashboard!$B$2,TeamLead_Reports!$D:$D,$B40))</x:f>
      </x:c>
      <x:c r="K40" s="5">
        <x:f>IF($A40="","",SUMIFS(TeamLead_Reports!$L:$L,TeamLead_Reports!$A:$A,Dashboard!$B$2,TeamLead_Reports!$D:$D,$B40))</x:f>
      </x:c>
      <x:c r="L40" s="5">
        <x:f>IF($A40="","",SUMIFS(TeamLead_Reports!$M:$M,TeamLead_Reports!$A:$A,Dashboard!$B$2,TeamLead_Reports!$D:$D,$B40))</x:f>
      </x:c>
      <x:c r="M40" s="5">
        <x:f>IF($A40="","",SUMIFS(TeamLead_Reports!$N:$N,TeamLead_Reports!$A:$A,Dashboard!$B$2,TeamLead_Reports!$D:$D,$B40))</x:f>
      </x:c>
      <x:c r="N40" s="5">
        <x:f>IF($A40="","",SUMIFS(TeamLead_Reports!$O:$O,TeamLead_Reports!$A:$A,Dashboard!$B$2,TeamLead_Reports!$D:$D,$B40))</x:f>
      </x:c>
      <x:c r="O40" s="5">
        <x:f>IF($A40="","",SUMIFS(TeamLead_Reports!$P:$P,TeamLead_Reports!$A:$A,Dashboard!$B$2,TeamLead_Reports!$D:$D,$B40))</x:f>
      </x:c>
      <x:c r="P40" s="5">
        <x:f>IF($A40="","",SUMIFS(TeamLead_Reports!$Q:$Q,TeamLead_Reports!$A:$A,Dashboard!$B$2,TeamLead_Reports!$D:$D,$B40))</x:f>
      </x:c>
      <x:c r="Q40" s="5">
        <x:f>IF($A40="","",SUMIFS(TeamLead_Reports!$R:$R,TeamLead_Reports!$A:$A,Dashboard!$B$2,TeamLead_Reports!$D:$D,$B40))</x:f>
      </x:c>
      <x:c r="R40" s="5">
        <x:f>IF($A40="","",SUMIFS(TeamLead_Reports!$S:$S,TeamLead_Reports!$A:$A,Dashboard!$B$2,TeamLead_Reports!$D:$D,$B40))</x:f>
      </x:c>
    </x:row>
    <x:row r="41">
      <x:c r="A41" s="5">
        <x:f>Settings!E41</x:f>
        <x:v>0</x:v>
      </x:c>
      <x:c r="B41" s="5">
        <x:f>Settings!F41</x:f>
        <x:v>0</x:v>
      </x:c>
      <x:c r="C41" s="5">
        <x:f>Settings!G41</x:f>
        <x:v>0</x:v>
      </x:c>
      <x:c r="D41" s="5">
        <x:f>IF($A41="","",COUNTIFS(TeamLead_Reports!$A:$A,Dashboard!$B$2,TeamLead_Reports!$D:$D,$B41))</x:f>
      </x:c>
      <x:c r="E41" s="5">
        <x:f>IF($A41="","",IFERROR(LOOKUP(2,1/((TeamLead_Reports!$A:$A=Dashboard!$B$2)*(TeamLead_Reports!$D:$D=$B41)),TeamLead_Reports!$V:$V),""))</x:f>
      </x:c>
      <x:c r="F41" s="5">
        <x:f>IF($A41="","",SUMIFS(TeamLead_Reports!$G:$G,TeamLead_Reports!$A:$A,Dashboard!$B$2,TeamLead_Reports!$D:$D,$B41))</x:f>
      </x:c>
      <x:c r="G41" s="5">
        <x:f>IF($A41="","",SUMIFS(TeamLead_Reports!$H:$H,TeamLead_Reports!$A:$A,Dashboard!$B$2,TeamLead_Reports!$D:$D,$B41))</x:f>
      </x:c>
      <x:c r="H41" s="5">
        <x:f>IF($A41="","",SUMIFS(TeamLead_Reports!$I:$I,TeamLead_Reports!$A:$A,Dashboard!$B$2,TeamLead_Reports!$D:$D,$B41))</x:f>
      </x:c>
      <x:c r="I41" s="5">
        <x:f>IF($A41="","",SUMIFS(TeamLead_Reports!$J:$J,TeamLead_Reports!$A:$A,Dashboard!$B$2,TeamLead_Reports!$D:$D,$B41))</x:f>
      </x:c>
      <x:c r="J41" s="5">
        <x:f>IF($A41="","",SUMIFS(TeamLead_Reports!$K:$K,TeamLead_Reports!$A:$A,Dashboard!$B$2,TeamLead_Reports!$D:$D,$B41))</x:f>
      </x:c>
      <x:c r="K41" s="5">
        <x:f>IF($A41="","",SUMIFS(TeamLead_Reports!$L:$L,TeamLead_Reports!$A:$A,Dashboard!$B$2,TeamLead_Reports!$D:$D,$B41))</x:f>
      </x:c>
      <x:c r="L41" s="5">
        <x:f>IF($A41="","",SUMIFS(TeamLead_Reports!$M:$M,TeamLead_Reports!$A:$A,Dashboard!$B$2,TeamLead_Reports!$D:$D,$B41))</x:f>
      </x:c>
      <x:c r="M41" s="5">
        <x:f>IF($A41="","",SUMIFS(TeamLead_Reports!$N:$N,TeamLead_Reports!$A:$A,Dashboard!$B$2,TeamLead_Reports!$D:$D,$B41))</x:f>
      </x:c>
      <x:c r="N41" s="5">
        <x:f>IF($A41="","",SUMIFS(TeamLead_Reports!$O:$O,TeamLead_Reports!$A:$A,Dashboard!$B$2,TeamLead_Reports!$D:$D,$B41))</x:f>
      </x:c>
      <x:c r="O41" s="5">
        <x:f>IF($A41="","",SUMIFS(TeamLead_Reports!$P:$P,TeamLead_Reports!$A:$A,Dashboard!$B$2,TeamLead_Reports!$D:$D,$B41))</x:f>
      </x:c>
      <x:c r="P41" s="5">
        <x:f>IF($A41="","",SUMIFS(TeamLead_Reports!$Q:$Q,TeamLead_Reports!$A:$A,Dashboard!$B$2,TeamLead_Reports!$D:$D,$B41))</x:f>
      </x:c>
      <x:c r="Q41" s="5">
        <x:f>IF($A41="","",SUMIFS(TeamLead_Reports!$R:$R,TeamLead_Reports!$A:$A,Dashboard!$B$2,TeamLead_Reports!$D:$D,$B41))</x:f>
      </x:c>
      <x:c r="R41" s="5">
        <x:f>IF($A41="","",SUMIFS(TeamLead_Reports!$S:$S,TeamLead_Reports!$A:$A,Dashboard!$B$2,TeamLead_Reports!$D:$D,$B41))</x:f>
      </x:c>
    </x:row>
    <x:row r="42">
      <x:c r="A42" s="5">
        <x:f>Settings!E42</x:f>
        <x:v>0</x:v>
      </x:c>
      <x:c r="B42" s="5">
        <x:f>Settings!F42</x:f>
        <x:v>0</x:v>
      </x:c>
      <x:c r="C42" s="5">
        <x:f>Settings!G42</x:f>
        <x:v>0</x:v>
      </x:c>
      <x:c r="D42" s="5">
        <x:f>IF($A42="","",COUNTIFS(TeamLead_Reports!$A:$A,Dashboard!$B$2,TeamLead_Reports!$D:$D,$B42))</x:f>
      </x:c>
      <x:c r="E42" s="5">
        <x:f>IF($A42="","",IFERROR(LOOKUP(2,1/((TeamLead_Reports!$A:$A=Dashboard!$B$2)*(TeamLead_Reports!$D:$D=$B42)),TeamLead_Reports!$V:$V),""))</x:f>
      </x:c>
      <x:c r="F42" s="5">
        <x:f>IF($A42="","",SUMIFS(TeamLead_Reports!$G:$G,TeamLead_Reports!$A:$A,Dashboard!$B$2,TeamLead_Reports!$D:$D,$B42))</x:f>
      </x:c>
      <x:c r="G42" s="5">
        <x:f>IF($A42="","",SUMIFS(TeamLead_Reports!$H:$H,TeamLead_Reports!$A:$A,Dashboard!$B$2,TeamLead_Reports!$D:$D,$B42))</x:f>
      </x:c>
      <x:c r="H42" s="5">
        <x:f>IF($A42="","",SUMIFS(TeamLead_Reports!$I:$I,TeamLead_Reports!$A:$A,Dashboard!$B$2,TeamLead_Reports!$D:$D,$B42))</x:f>
      </x:c>
      <x:c r="I42" s="5">
        <x:f>IF($A42="","",SUMIFS(TeamLead_Reports!$J:$J,TeamLead_Reports!$A:$A,Dashboard!$B$2,TeamLead_Reports!$D:$D,$B42))</x:f>
      </x:c>
      <x:c r="J42" s="5">
        <x:f>IF($A42="","",SUMIFS(TeamLead_Reports!$K:$K,TeamLead_Reports!$A:$A,Dashboard!$B$2,TeamLead_Reports!$D:$D,$B42))</x:f>
      </x:c>
      <x:c r="K42" s="5">
        <x:f>IF($A42="","",SUMIFS(TeamLead_Reports!$L:$L,TeamLead_Reports!$A:$A,Dashboard!$B$2,TeamLead_Reports!$D:$D,$B42))</x:f>
      </x:c>
      <x:c r="L42" s="5">
        <x:f>IF($A42="","",SUMIFS(TeamLead_Reports!$M:$M,TeamLead_Reports!$A:$A,Dashboard!$B$2,TeamLead_Reports!$D:$D,$B42))</x:f>
      </x:c>
      <x:c r="M42" s="5">
        <x:f>IF($A42="","",SUMIFS(TeamLead_Reports!$N:$N,TeamLead_Reports!$A:$A,Dashboard!$B$2,TeamLead_Reports!$D:$D,$B42))</x:f>
      </x:c>
      <x:c r="N42" s="5">
        <x:f>IF($A42="","",SUMIFS(TeamLead_Reports!$O:$O,TeamLead_Reports!$A:$A,Dashboard!$B$2,TeamLead_Reports!$D:$D,$B42))</x:f>
      </x:c>
      <x:c r="O42" s="5">
        <x:f>IF($A42="","",SUMIFS(TeamLead_Reports!$P:$P,TeamLead_Reports!$A:$A,Dashboard!$B$2,TeamLead_Reports!$D:$D,$B42))</x:f>
      </x:c>
      <x:c r="P42" s="5">
        <x:f>IF($A42="","",SUMIFS(TeamLead_Reports!$Q:$Q,TeamLead_Reports!$A:$A,Dashboard!$B$2,TeamLead_Reports!$D:$D,$B42))</x:f>
      </x:c>
      <x:c r="Q42" s="5">
        <x:f>IF($A42="","",SUMIFS(TeamLead_Reports!$R:$R,TeamLead_Reports!$A:$A,Dashboard!$B$2,TeamLead_Reports!$D:$D,$B42))</x:f>
      </x:c>
      <x:c r="R42" s="5">
        <x:f>IF($A42="","",SUMIFS(TeamLead_Reports!$S:$S,TeamLead_Reports!$A:$A,Dashboard!$B$2,TeamLead_Reports!$D:$D,$B42))</x:f>
      </x:c>
    </x:row>
    <x:row r="43">
      <x:c r="A43" s="5">
        <x:f>Settings!E43</x:f>
        <x:v>0</x:v>
      </x:c>
      <x:c r="B43" s="5">
        <x:f>Settings!F43</x:f>
        <x:v>0</x:v>
      </x:c>
      <x:c r="C43" s="5">
        <x:f>Settings!G43</x:f>
        <x:v>0</x:v>
      </x:c>
      <x:c r="D43" s="5">
        <x:f>IF($A43="","",COUNTIFS(TeamLead_Reports!$A:$A,Dashboard!$B$2,TeamLead_Reports!$D:$D,$B43))</x:f>
      </x:c>
      <x:c r="E43" s="5">
        <x:f>IF($A43="","",IFERROR(LOOKUP(2,1/((TeamLead_Reports!$A:$A=Dashboard!$B$2)*(TeamLead_Reports!$D:$D=$B43)),TeamLead_Reports!$V:$V),""))</x:f>
      </x:c>
      <x:c r="F43" s="5">
        <x:f>IF($A43="","",SUMIFS(TeamLead_Reports!$G:$G,TeamLead_Reports!$A:$A,Dashboard!$B$2,TeamLead_Reports!$D:$D,$B43))</x:f>
      </x:c>
      <x:c r="G43" s="5">
        <x:f>IF($A43="","",SUMIFS(TeamLead_Reports!$H:$H,TeamLead_Reports!$A:$A,Dashboard!$B$2,TeamLead_Reports!$D:$D,$B43))</x:f>
      </x:c>
      <x:c r="H43" s="5">
        <x:f>IF($A43="","",SUMIFS(TeamLead_Reports!$I:$I,TeamLead_Reports!$A:$A,Dashboard!$B$2,TeamLead_Reports!$D:$D,$B43))</x:f>
      </x:c>
      <x:c r="I43" s="5">
        <x:f>IF($A43="","",SUMIFS(TeamLead_Reports!$J:$J,TeamLead_Reports!$A:$A,Dashboard!$B$2,TeamLead_Reports!$D:$D,$B43))</x:f>
      </x:c>
      <x:c r="J43" s="5">
        <x:f>IF($A43="","",SUMIFS(TeamLead_Reports!$K:$K,TeamLead_Reports!$A:$A,Dashboard!$B$2,TeamLead_Reports!$D:$D,$B43))</x:f>
      </x:c>
      <x:c r="K43" s="5">
        <x:f>IF($A43="","",SUMIFS(TeamLead_Reports!$L:$L,TeamLead_Reports!$A:$A,Dashboard!$B$2,TeamLead_Reports!$D:$D,$B43))</x:f>
      </x:c>
      <x:c r="L43" s="5">
        <x:f>IF($A43="","",SUMIFS(TeamLead_Reports!$M:$M,TeamLead_Reports!$A:$A,Dashboard!$B$2,TeamLead_Reports!$D:$D,$B43))</x:f>
      </x:c>
      <x:c r="M43" s="5">
        <x:f>IF($A43="","",SUMIFS(TeamLead_Reports!$N:$N,TeamLead_Reports!$A:$A,Dashboard!$B$2,TeamLead_Reports!$D:$D,$B43))</x:f>
      </x:c>
      <x:c r="N43" s="5">
        <x:f>IF($A43="","",SUMIFS(TeamLead_Reports!$O:$O,TeamLead_Reports!$A:$A,Dashboard!$B$2,TeamLead_Reports!$D:$D,$B43))</x:f>
      </x:c>
      <x:c r="O43" s="5">
        <x:f>IF($A43="","",SUMIFS(TeamLead_Reports!$P:$P,TeamLead_Reports!$A:$A,Dashboard!$B$2,TeamLead_Reports!$D:$D,$B43))</x:f>
      </x:c>
      <x:c r="P43" s="5">
        <x:f>IF($A43="","",SUMIFS(TeamLead_Reports!$Q:$Q,TeamLead_Reports!$A:$A,Dashboard!$B$2,TeamLead_Reports!$D:$D,$B43))</x:f>
      </x:c>
      <x:c r="Q43" s="5">
        <x:f>IF($A43="","",SUMIFS(TeamLead_Reports!$R:$R,TeamLead_Reports!$A:$A,Dashboard!$B$2,TeamLead_Reports!$D:$D,$B43))</x:f>
      </x:c>
      <x:c r="R43" s="5">
        <x:f>IF($A43="","",SUMIFS(TeamLead_Reports!$S:$S,TeamLead_Reports!$A:$A,Dashboard!$B$2,TeamLead_Reports!$D:$D,$B43))</x:f>
      </x:c>
    </x:row>
    <x:row r="44">
      <x:c r="A44" s="5">
        <x:f>Settings!E44</x:f>
        <x:v>0</x:v>
      </x:c>
      <x:c r="B44" s="5">
        <x:f>Settings!F44</x:f>
        <x:v>0</x:v>
      </x:c>
      <x:c r="C44" s="5">
        <x:f>Settings!G44</x:f>
        <x:v>0</x:v>
      </x:c>
      <x:c r="D44" s="5">
        <x:f>IF($A44="","",COUNTIFS(TeamLead_Reports!$A:$A,Dashboard!$B$2,TeamLead_Reports!$D:$D,$B44))</x:f>
      </x:c>
      <x:c r="E44" s="5">
        <x:f>IF($A44="","",IFERROR(LOOKUP(2,1/((TeamLead_Reports!$A:$A=Dashboard!$B$2)*(TeamLead_Reports!$D:$D=$B44)),TeamLead_Reports!$V:$V),""))</x:f>
      </x:c>
      <x:c r="F44" s="5">
        <x:f>IF($A44="","",SUMIFS(TeamLead_Reports!$G:$G,TeamLead_Reports!$A:$A,Dashboard!$B$2,TeamLead_Reports!$D:$D,$B44))</x:f>
      </x:c>
      <x:c r="G44" s="5">
        <x:f>IF($A44="","",SUMIFS(TeamLead_Reports!$H:$H,TeamLead_Reports!$A:$A,Dashboard!$B$2,TeamLead_Reports!$D:$D,$B44))</x:f>
      </x:c>
      <x:c r="H44" s="5">
        <x:f>IF($A44="","",SUMIFS(TeamLead_Reports!$I:$I,TeamLead_Reports!$A:$A,Dashboard!$B$2,TeamLead_Reports!$D:$D,$B44))</x:f>
      </x:c>
      <x:c r="I44" s="5">
        <x:f>IF($A44="","",SUMIFS(TeamLead_Reports!$J:$J,TeamLead_Reports!$A:$A,Dashboard!$B$2,TeamLead_Reports!$D:$D,$B44))</x:f>
      </x:c>
      <x:c r="J44" s="5">
        <x:f>IF($A44="","",SUMIFS(TeamLead_Reports!$K:$K,TeamLead_Reports!$A:$A,Dashboard!$B$2,TeamLead_Reports!$D:$D,$B44))</x:f>
      </x:c>
      <x:c r="K44" s="5">
        <x:f>IF($A44="","",SUMIFS(TeamLead_Reports!$L:$L,TeamLead_Reports!$A:$A,Dashboard!$B$2,TeamLead_Reports!$D:$D,$B44))</x:f>
      </x:c>
      <x:c r="L44" s="5">
        <x:f>IF($A44="","",SUMIFS(TeamLead_Reports!$M:$M,TeamLead_Reports!$A:$A,Dashboard!$B$2,TeamLead_Reports!$D:$D,$B44))</x:f>
      </x:c>
      <x:c r="M44" s="5">
        <x:f>IF($A44="","",SUMIFS(TeamLead_Reports!$N:$N,TeamLead_Reports!$A:$A,Dashboard!$B$2,TeamLead_Reports!$D:$D,$B44))</x:f>
      </x:c>
      <x:c r="N44" s="5">
        <x:f>IF($A44="","",SUMIFS(TeamLead_Reports!$O:$O,TeamLead_Reports!$A:$A,Dashboard!$B$2,TeamLead_Reports!$D:$D,$B44))</x:f>
      </x:c>
      <x:c r="O44" s="5">
        <x:f>IF($A44="","",SUMIFS(TeamLead_Reports!$P:$P,TeamLead_Reports!$A:$A,Dashboard!$B$2,TeamLead_Reports!$D:$D,$B44))</x:f>
      </x:c>
      <x:c r="P44" s="5">
        <x:f>IF($A44="","",SUMIFS(TeamLead_Reports!$Q:$Q,TeamLead_Reports!$A:$A,Dashboard!$B$2,TeamLead_Reports!$D:$D,$B44))</x:f>
      </x:c>
      <x:c r="Q44" s="5">
        <x:f>IF($A44="","",SUMIFS(TeamLead_Reports!$R:$R,TeamLead_Reports!$A:$A,Dashboard!$B$2,TeamLead_Reports!$D:$D,$B44))</x:f>
      </x:c>
      <x:c r="R44" s="5">
        <x:f>IF($A44="","",SUMIFS(TeamLead_Reports!$S:$S,TeamLead_Reports!$A:$A,Dashboard!$B$2,TeamLead_Reports!$D:$D,$B44))</x:f>
      </x:c>
    </x:row>
    <x:row r="45">
      <x:c r="A45" s="5">
        <x:f>Settings!E45</x:f>
        <x:v>0</x:v>
      </x:c>
      <x:c r="B45" s="5">
        <x:f>Settings!F45</x:f>
        <x:v>0</x:v>
      </x:c>
      <x:c r="C45" s="5">
        <x:f>Settings!G45</x:f>
        <x:v>0</x:v>
      </x:c>
      <x:c r="D45" s="5">
        <x:f>IF($A45="","",COUNTIFS(TeamLead_Reports!$A:$A,Dashboard!$B$2,TeamLead_Reports!$D:$D,$B45))</x:f>
      </x:c>
      <x:c r="E45" s="5">
        <x:f>IF($A45="","",IFERROR(LOOKUP(2,1/((TeamLead_Reports!$A:$A=Dashboard!$B$2)*(TeamLead_Reports!$D:$D=$B45)),TeamLead_Reports!$V:$V),""))</x:f>
      </x:c>
      <x:c r="F45" s="5">
        <x:f>IF($A45="","",SUMIFS(TeamLead_Reports!$G:$G,TeamLead_Reports!$A:$A,Dashboard!$B$2,TeamLead_Reports!$D:$D,$B45))</x:f>
      </x:c>
      <x:c r="G45" s="5">
        <x:f>IF($A45="","",SUMIFS(TeamLead_Reports!$H:$H,TeamLead_Reports!$A:$A,Dashboard!$B$2,TeamLead_Reports!$D:$D,$B45))</x:f>
      </x:c>
      <x:c r="H45" s="5">
        <x:f>IF($A45="","",SUMIFS(TeamLead_Reports!$I:$I,TeamLead_Reports!$A:$A,Dashboard!$B$2,TeamLead_Reports!$D:$D,$B45))</x:f>
      </x:c>
      <x:c r="I45" s="5">
        <x:f>IF($A45="","",SUMIFS(TeamLead_Reports!$J:$J,TeamLead_Reports!$A:$A,Dashboard!$B$2,TeamLead_Reports!$D:$D,$B45))</x:f>
      </x:c>
      <x:c r="J45" s="5">
        <x:f>IF($A45="","",SUMIFS(TeamLead_Reports!$K:$K,TeamLead_Reports!$A:$A,Dashboard!$B$2,TeamLead_Reports!$D:$D,$B45))</x:f>
      </x:c>
      <x:c r="K45" s="5">
        <x:f>IF($A45="","",SUMIFS(TeamLead_Reports!$L:$L,TeamLead_Reports!$A:$A,Dashboard!$B$2,TeamLead_Reports!$D:$D,$B45))</x:f>
      </x:c>
      <x:c r="L45" s="5">
        <x:f>IF($A45="","",SUMIFS(TeamLead_Reports!$M:$M,TeamLead_Reports!$A:$A,Dashboard!$B$2,TeamLead_Reports!$D:$D,$B45))</x:f>
      </x:c>
      <x:c r="M45" s="5">
        <x:f>IF($A45="","",SUMIFS(TeamLead_Reports!$N:$N,TeamLead_Reports!$A:$A,Dashboard!$B$2,TeamLead_Reports!$D:$D,$B45))</x:f>
      </x:c>
      <x:c r="N45" s="5">
        <x:f>IF($A45="","",SUMIFS(TeamLead_Reports!$O:$O,TeamLead_Reports!$A:$A,Dashboard!$B$2,TeamLead_Reports!$D:$D,$B45))</x:f>
      </x:c>
      <x:c r="O45" s="5">
        <x:f>IF($A45="","",SUMIFS(TeamLead_Reports!$P:$P,TeamLead_Reports!$A:$A,Dashboard!$B$2,TeamLead_Reports!$D:$D,$B45))</x:f>
      </x:c>
      <x:c r="P45" s="5">
        <x:f>IF($A45="","",SUMIFS(TeamLead_Reports!$Q:$Q,TeamLead_Reports!$A:$A,Dashboard!$B$2,TeamLead_Reports!$D:$D,$B45))</x:f>
      </x:c>
      <x:c r="Q45" s="5">
        <x:f>IF($A45="","",SUMIFS(TeamLead_Reports!$R:$R,TeamLead_Reports!$A:$A,Dashboard!$B$2,TeamLead_Reports!$D:$D,$B45))</x:f>
      </x:c>
      <x:c r="R45" s="5">
        <x:f>IF($A45="","",SUMIFS(TeamLead_Reports!$S:$S,TeamLead_Reports!$A:$A,Dashboard!$B$2,TeamLead_Reports!$D:$D,$B45))</x:f>
      </x:c>
    </x:row>
    <x:row r="46">
      <x:c r="A46" s="5">
        <x:f>Settings!E46</x:f>
        <x:v>0</x:v>
      </x:c>
      <x:c r="B46" s="5">
        <x:f>Settings!F46</x:f>
        <x:v>0</x:v>
      </x:c>
      <x:c r="C46" s="5">
        <x:f>Settings!G46</x:f>
        <x:v>0</x:v>
      </x:c>
      <x:c r="D46" s="5">
        <x:f>IF($A46="","",COUNTIFS(TeamLead_Reports!$A:$A,Dashboard!$B$2,TeamLead_Reports!$D:$D,$B46))</x:f>
      </x:c>
      <x:c r="E46" s="5">
        <x:f>IF($A46="","",IFERROR(LOOKUP(2,1/((TeamLead_Reports!$A:$A=Dashboard!$B$2)*(TeamLead_Reports!$D:$D=$B46)),TeamLead_Reports!$V:$V),""))</x:f>
      </x:c>
      <x:c r="F46" s="5">
        <x:f>IF($A46="","",SUMIFS(TeamLead_Reports!$G:$G,TeamLead_Reports!$A:$A,Dashboard!$B$2,TeamLead_Reports!$D:$D,$B46))</x:f>
      </x:c>
      <x:c r="G46" s="5">
        <x:f>IF($A46="","",SUMIFS(TeamLead_Reports!$H:$H,TeamLead_Reports!$A:$A,Dashboard!$B$2,TeamLead_Reports!$D:$D,$B46))</x:f>
      </x:c>
      <x:c r="H46" s="5">
        <x:f>IF($A46="","",SUMIFS(TeamLead_Reports!$I:$I,TeamLead_Reports!$A:$A,Dashboard!$B$2,TeamLead_Reports!$D:$D,$B46))</x:f>
      </x:c>
      <x:c r="I46" s="5">
        <x:f>IF($A46="","",SUMIFS(TeamLead_Reports!$J:$J,TeamLead_Reports!$A:$A,Dashboard!$B$2,TeamLead_Reports!$D:$D,$B46))</x:f>
      </x:c>
      <x:c r="J46" s="5">
        <x:f>IF($A46="","",SUMIFS(TeamLead_Reports!$K:$K,TeamLead_Reports!$A:$A,Dashboard!$B$2,TeamLead_Reports!$D:$D,$B46))</x:f>
      </x:c>
      <x:c r="K46" s="5">
        <x:f>IF($A46="","",SUMIFS(TeamLead_Reports!$L:$L,TeamLead_Reports!$A:$A,Dashboard!$B$2,TeamLead_Reports!$D:$D,$B46))</x:f>
      </x:c>
      <x:c r="L46" s="5">
        <x:f>IF($A46="","",SUMIFS(TeamLead_Reports!$M:$M,TeamLead_Reports!$A:$A,Dashboard!$B$2,TeamLead_Reports!$D:$D,$B46))</x:f>
      </x:c>
      <x:c r="M46" s="5">
        <x:f>IF($A46="","",SUMIFS(TeamLead_Reports!$N:$N,TeamLead_Reports!$A:$A,Dashboard!$B$2,TeamLead_Reports!$D:$D,$B46))</x:f>
      </x:c>
      <x:c r="N46" s="5">
        <x:f>IF($A46="","",SUMIFS(TeamLead_Reports!$O:$O,TeamLead_Reports!$A:$A,Dashboard!$B$2,TeamLead_Reports!$D:$D,$B46))</x:f>
      </x:c>
      <x:c r="O46" s="5">
        <x:f>IF($A46="","",SUMIFS(TeamLead_Reports!$P:$P,TeamLead_Reports!$A:$A,Dashboard!$B$2,TeamLead_Reports!$D:$D,$B46))</x:f>
      </x:c>
      <x:c r="P46" s="5">
        <x:f>IF($A46="","",SUMIFS(TeamLead_Reports!$Q:$Q,TeamLead_Reports!$A:$A,Dashboard!$B$2,TeamLead_Reports!$D:$D,$B46))</x:f>
      </x:c>
      <x:c r="Q46" s="5">
        <x:f>IF($A46="","",SUMIFS(TeamLead_Reports!$R:$R,TeamLead_Reports!$A:$A,Dashboard!$B$2,TeamLead_Reports!$D:$D,$B46))</x:f>
      </x:c>
      <x:c r="R46" s="5">
        <x:f>IF($A46="","",SUMIFS(TeamLead_Reports!$S:$S,TeamLead_Reports!$A:$A,Dashboard!$B$2,TeamLead_Reports!$D:$D,$B46))</x:f>
      </x:c>
    </x:row>
    <x:row r="47">
      <x:c r="A47" s="5">
        <x:f>Settings!E47</x:f>
        <x:v>0</x:v>
      </x:c>
      <x:c r="B47" s="5">
        <x:f>Settings!F47</x:f>
        <x:v>0</x:v>
      </x:c>
      <x:c r="C47" s="5">
        <x:f>Settings!G47</x:f>
        <x:v>0</x:v>
      </x:c>
      <x:c r="D47" s="5">
        <x:f>IF($A47="","",COUNTIFS(TeamLead_Reports!$A:$A,Dashboard!$B$2,TeamLead_Reports!$D:$D,$B47))</x:f>
      </x:c>
      <x:c r="E47" s="5">
        <x:f>IF($A47="","",IFERROR(LOOKUP(2,1/((TeamLead_Reports!$A:$A=Dashboard!$B$2)*(TeamLead_Reports!$D:$D=$B47)),TeamLead_Reports!$V:$V),""))</x:f>
      </x:c>
      <x:c r="F47" s="5">
        <x:f>IF($A47="","",SUMIFS(TeamLead_Reports!$G:$G,TeamLead_Reports!$A:$A,Dashboard!$B$2,TeamLead_Reports!$D:$D,$B47))</x:f>
      </x:c>
      <x:c r="G47" s="5">
        <x:f>IF($A47="","",SUMIFS(TeamLead_Reports!$H:$H,TeamLead_Reports!$A:$A,Dashboard!$B$2,TeamLead_Reports!$D:$D,$B47))</x:f>
      </x:c>
      <x:c r="H47" s="5">
        <x:f>IF($A47="","",SUMIFS(TeamLead_Reports!$I:$I,TeamLead_Reports!$A:$A,Dashboard!$B$2,TeamLead_Reports!$D:$D,$B47))</x:f>
      </x:c>
      <x:c r="I47" s="5">
        <x:f>IF($A47="","",SUMIFS(TeamLead_Reports!$J:$J,TeamLead_Reports!$A:$A,Dashboard!$B$2,TeamLead_Reports!$D:$D,$B47))</x:f>
      </x:c>
      <x:c r="J47" s="5">
        <x:f>IF($A47="","",SUMIFS(TeamLead_Reports!$K:$K,TeamLead_Reports!$A:$A,Dashboard!$B$2,TeamLead_Reports!$D:$D,$B47))</x:f>
      </x:c>
      <x:c r="K47" s="5">
        <x:f>IF($A47="","",SUMIFS(TeamLead_Reports!$L:$L,TeamLead_Reports!$A:$A,Dashboard!$B$2,TeamLead_Reports!$D:$D,$B47))</x:f>
      </x:c>
      <x:c r="L47" s="5">
        <x:f>IF($A47="","",SUMIFS(TeamLead_Reports!$M:$M,TeamLead_Reports!$A:$A,Dashboard!$B$2,TeamLead_Reports!$D:$D,$B47))</x:f>
      </x:c>
      <x:c r="M47" s="5">
        <x:f>IF($A47="","",SUMIFS(TeamLead_Reports!$N:$N,TeamLead_Reports!$A:$A,Dashboard!$B$2,TeamLead_Reports!$D:$D,$B47))</x:f>
      </x:c>
      <x:c r="N47" s="5">
        <x:f>IF($A47="","",SUMIFS(TeamLead_Reports!$O:$O,TeamLead_Reports!$A:$A,Dashboard!$B$2,TeamLead_Reports!$D:$D,$B47))</x:f>
      </x:c>
      <x:c r="O47" s="5">
        <x:f>IF($A47="","",SUMIFS(TeamLead_Reports!$P:$P,TeamLead_Reports!$A:$A,Dashboard!$B$2,TeamLead_Reports!$D:$D,$B47))</x:f>
      </x:c>
      <x:c r="P47" s="5">
        <x:f>IF($A47="","",SUMIFS(TeamLead_Reports!$Q:$Q,TeamLead_Reports!$A:$A,Dashboard!$B$2,TeamLead_Reports!$D:$D,$B47))</x:f>
      </x:c>
      <x:c r="Q47" s="5">
        <x:f>IF($A47="","",SUMIFS(TeamLead_Reports!$R:$R,TeamLead_Reports!$A:$A,Dashboard!$B$2,TeamLead_Reports!$D:$D,$B47))</x:f>
      </x:c>
      <x:c r="R47" s="5">
        <x:f>IF($A47="","",SUMIFS(TeamLead_Reports!$S:$S,TeamLead_Reports!$A:$A,Dashboard!$B$2,TeamLead_Reports!$D:$D,$B47))</x:f>
      </x:c>
    </x:row>
    <x:row r="48">
      <x:c r="A48" s="5">
        <x:f>Settings!E48</x:f>
        <x:v>0</x:v>
      </x:c>
      <x:c r="B48" s="5">
        <x:f>Settings!F48</x:f>
        <x:v>0</x:v>
      </x:c>
      <x:c r="C48" s="5">
        <x:f>Settings!G48</x:f>
        <x:v>0</x:v>
      </x:c>
      <x:c r="D48" s="5">
        <x:f>IF($A48="","",COUNTIFS(TeamLead_Reports!$A:$A,Dashboard!$B$2,TeamLead_Reports!$D:$D,$B48))</x:f>
      </x:c>
      <x:c r="E48" s="5">
        <x:f>IF($A48="","",IFERROR(LOOKUP(2,1/((TeamLead_Reports!$A:$A=Dashboard!$B$2)*(TeamLead_Reports!$D:$D=$B48)),TeamLead_Reports!$V:$V),""))</x:f>
      </x:c>
      <x:c r="F48" s="5">
        <x:f>IF($A48="","",SUMIFS(TeamLead_Reports!$G:$G,TeamLead_Reports!$A:$A,Dashboard!$B$2,TeamLead_Reports!$D:$D,$B48))</x:f>
      </x:c>
      <x:c r="G48" s="5">
        <x:f>IF($A48="","",SUMIFS(TeamLead_Reports!$H:$H,TeamLead_Reports!$A:$A,Dashboard!$B$2,TeamLead_Reports!$D:$D,$B48))</x:f>
      </x:c>
      <x:c r="H48" s="5">
        <x:f>IF($A48="","",SUMIFS(TeamLead_Reports!$I:$I,TeamLead_Reports!$A:$A,Dashboard!$B$2,TeamLead_Reports!$D:$D,$B48))</x:f>
      </x:c>
      <x:c r="I48" s="5">
        <x:f>IF($A48="","",SUMIFS(TeamLead_Reports!$J:$J,TeamLead_Reports!$A:$A,Dashboard!$B$2,TeamLead_Reports!$D:$D,$B48))</x:f>
      </x:c>
      <x:c r="J48" s="5">
        <x:f>IF($A48="","",SUMIFS(TeamLead_Reports!$K:$K,TeamLead_Reports!$A:$A,Dashboard!$B$2,TeamLead_Reports!$D:$D,$B48))</x:f>
      </x:c>
      <x:c r="K48" s="5">
        <x:f>IF($A48="","",SUMIFS(TeamLead_Reports!$L:$L,TeamLead_Reports!$A:$A,Dashboard!$B$2,TeamLead_Reports!$D:$D,$B48))</x:f>
      </x:c>
      <x:c r="L48" s="5">
        <x:f>IF($A48="","",SUMIFS(TeamLead_Reports!$M:$M,TeamLead_Reports!$A:$A,Dashboard!$B$2,TeamLead_Reports!$D:$D,$B48))</x:f>
      </x:c>
      <x:c r="M48" s="5">
        <x:f>IF($A48="","",SUMIFS(TeamLead_Reports!$N:$N,TeamLead_Reports!$A:$A,Dashboard!$B$2,TeamLead_Reports!$D:$D,$B48))</x:f>
      </x:c>
      <x:c r="N48" s="5">
        <x:f>IF($A48="","",SUMIFS(TeamLead_Reports!$O:$O,TeamLead_Reports!$A:$A,Dashboard!$B$2,TeamLead_Reports!$D:$D,$B48))</x:f>
      </x:c>
      <x:c r="O48" s="5">
        <x:f>IF($A48="","",SUMIFS(TeamLead_Reports!$P:$P,TeamLead_Reports!$A:$A,Dashboard!$B$2,TeamLead_Reports!$D:$D,$B48))</x:f>
      </x:c>
      <x:c r="P48" s="5">
        <x:f>IF($A48="","",SUMIFS(TeamLead_Reports!$Q:$Q,TeamLead_Reports!$A:$A,Dashboard!$B$2,TeamLead_Reports!$D:$D,$B48))</x:f>
      </x:c>
      <x:c r="Q48" s="5">
        <x:f>IF($A48="","",SUMIFS(TeamLead_Reports!$R:$R,TeamLead_Reports!$A:$A,Dashboard!$B$2,TeamLead_Reports!$D:$D,$B48))</x:f>
      </x:c>
      <x:c r="R48" s="5">
        <x:f>IF($A48="","",SUMIFS(TeamLead_Reports!$S:$S,TeamLead_Reports!$A:$A,Dashboard!$B$2,TeamLead_Reports!$D:$D,$B48))</x:f>
      </x:c>
    </x:row>
    <x:row r="49">
      <x:c r="A49" s="5">
        <x:f>Settings!E49</x:f>
        <x:v>0</x:v>
      </x:c>
      <x:c r="B49" s="5">
        <x:f>Settings!F49</x:f>
        <x:v>0</x:v>
      </x:c>
      <x:c r="C49" s="5">
        <x:f>Settings!G49</x:f>
        <x:v>0</x:v>
      </x:c>
      <x:c r="D49" s="5">
        <x:f>IF($A49="","",COUNTIFS(TeamLead_Reports!$A:$A,Dashboard!$B$2,TeamLead_Reports!$D:$D,$B49))</x:f>
      </x:c>
      <x:c r="E49" s="5">
        <x:f>IF($A49="","",IFERROR(LOOKUP(2,1/((TeamLead_Reports!$A:$A=Dashboard!$B$2)*(TeamLead_Reports!$D:$D=$B49)),TeamLead_Reports!$V:$V),""))</x:f>
      </x:c>
      <x:c r="F49" s="5">
        <x:f>IF($A49="","",SUMIFS(TeamLead_Reports!$G:$G,TeamLead_Reports!$A:$A,Dashboard!$B$2,TeamLead_Reports!$D:$D,$B49))</x:f>
      </x:c>
      <x:c r="G49" s="5">
        <x:f>IF($A49="","",SUMIFS(TeamLead_Reports!$H:$H,TeamLead_Reports!$A:$A,Dashboard!$B$2,TeamLead_Reports!$D:$D,$B49))</x:f>
      </x:c>
      <x:c r="H49" s="5">
        <x:f>IF($A49="","",SUMIFS(TeamLead_Reports!$I:$I,TeamLead_Reports!$A:$A,Dashboard!$B$2,TeamLead_Reports!$D:$D,$B49))</x:f>
      </x:c>
      <x:c r="I49" s="5">
        <x:f>IF($A49="","",SUMIFS(TeamLead_Reports!$J:$J,TeamLead_Reports!$A:$A,Dashboard!$B$2,TeamLead_Reports!$D:$D,$B49))</x:f>
      </x:c>
      <x:c r="J49" s="5">
        <x:f>IF($A49="","",SUMIFS(TeamLead_Reports!$K:$K,TeamLead_Reports!$A:$A,Dashboard!$B$2,TeamLead_Reports!$D:$D,$B49))</x:f>
      </x:c>
      <x:c r="K49" s="5">
        <x:f>IF($A49="","",SUMIFS(TeamLead_Reports!$L:$L,TeamLead_Reports!$A:$A,Dashboard!$B$2,TeamLead_Reports!$D:$D,$B49))</x:f>
      </x:c>
      <x:c r="L49" s="5">
        <x:f>IF($A49="","",SUMIFS(TeamLead_Reports!$M:$M,TeamLead_Reports!$A:$A,Dashboard!$B$2,TeamLead_Reports!$D:$D,$B49))</x:f>
      </x:c>
      <x:c r="M49" s="5">
        <x:f>IF($A49="","",SUMIFS(TeamLead_Reports!$N:$N,TeamLead_Reports!$A:$A,Dashboard!$B$2,TeamLead_Reports!$D:$D,$B49))</x:f>
      </x:c>
      <x:c r="N49" s="5">
        <x:f>IF($A49="","",SUMIFS(TeamLead_Reports!$O:$O,TeamLead_Reports!$A:$A,Dashboard!$B$2,TeamLead_Reports!$D:$D,$B49))</x:f>
      </x:c>
      <x:c r="O49" s="5">
        <x:f>IF($A49="","",SUMIFS(TeamLead_Reports!$P:$P,TeamLead_Reports!$A:$A,Dashboard!$B$2,TeamLead_Reports!$D:$D,$B49))</x:f>
      </x:c>
      <x:c r="P49" s="5">
        <x:f>IF($A49="","",SUMIFS(TeamLead_Reports!$Q:$Q,TeamLead_Reports!$A:$A,Dashboard!$B$2,TeamLead_Reports!$D:$D,$B49))</x:f>
      </x:c>
      <x:c r="Q49" s="5">
        <x:f>IF($A49="","",SUMIFS(TeamLead_Reports!$R:$R,TeamLead_Reports!$A:$A,Dashboard!$B$2,TeamLead_Reports!$D:$D,$B49))</x:f>
      </x:c>
      <x:c r="R49" s="5">
        <x:f>IF($A49="","",SUMIFS(TeamLead_Reports!$S:$S,TeamLead_Reports!$A:$A,Dashboard!$B$2,TeamLead_Reports!$D:$D,$B49))</x:f>
      </x:c>
    </x:row>
    <x:row r="50">
      <x:c r="A50" s="5">
        <x:f>Settings!E50</x:f>
        <x:v>0</x:v>
      </x:c>
      <x:c r="B50" s="5">
        <x:f>Settings!F50</x:f>
        <x:v>0</x:v>
      </x:c>
      <x:c r="C50" s="5">
        <x:f>Settings!G50</x:f>
        <x:v>0</x:v>
      </x:c>
      <x:c r="D50" s="5">
        <x:f>IF($A50="","",COUNTIFS(TeamLead_Reports!$A:$A,Dashboard!$B$2,TeamLead_Reports!$D:$D,$B50))</x:f>
      </x:c>
      <x:c r="E50" s="5">
        <x:f>IF($A50="","",IFERROR(LOOKUP(2,1/((TeamLead_Reports!$A:$A=Dashboard!$B$2)*(TeamLead_Reports!$D:$D=$B50)),TeamLead_Reports!$V:$V),""))</x:f>
      </x:c>
      <x:c r="F50" s="5">
        <x:f>IF($A50="","",SUMIFS(TeamLead_Reports!$G:$G,TeamLead_Reports!$A:$A,Dashboard!$B$2,TeamLead_Reports!$D:$D,$B50))</x:f>
      </x:c>
      <x:c r="G50" s="5">
        <x:f>IF($A50="","",SUMIFS(TeamLead_Reports!$H:$H,TeamLead_Reports!$A:$A,Dashboard!$B$2,TeamLead_Reports!$D:$D,$B50))</x:f>
      </x:c>
      <x:c r="H50" s="5">
        <x:f>IF($A50="","",SUMIFS(TeamLead_Reports!$I:$I,TeamLead_Reports!$A:$A,Dashboard!$B$2,TeamLead_Reports!$D:$D,$B50))</x:f>
      </x:c>
      <x:c r="I50" s="5">
        <x:f>IF($A50="","",SUMIFS(TeamLead_Reports!$J:$J,TeamLead_Reports!$A:$A,Dashboard!$B$2,TeamLead_Reports!$D:$D,$B50))</x:f>
      </x:c>
      <x:c r="J50" s="5">
        <x:f>IF($A50="","",SUMIFS(TeamLead_Reports!$K:$K,TeamLead_Reports!$A:$A,Dashboard!$B$2,TeamLead_Reports!$D:$D,$B50))</x:f>
      </x:c>
      <x:c r="K50" s="5">
        <x:f>IF($A50="","",SUMIFS(TeamLead_Reports!$L:$L,TeamLead_Reports!$A:$A,Dashboard!$B$2,TeamLead_Reports!$D:$D,$B50))</x:f>
      </x:c>
      <x:c r="L50" s="5">
        <x:f>IF($A50="","",SUMIFS(TeamLead_Reports!$M:$M,TeamLead_Reports!$A:$A,Dashboard!$B$2,TeamLead_Reports!$D:$D,$B50))</x:f>
      </x:c>
      <x:c r="M50" s="5">
        <x:f>IF($A50="","",SUMIFS(TeamLead_Reports!$N:$N,TeamLead_Reports!$A:$A,Dashboard!$B$2,TeamLead_Reports!$D:$D,$B50))</x:f>
      </x:c>
      <x:c r="N50" s="5">
        <x:f>IF($A50="","",SUMIFS(TeamLead_Reports!$O:$O,TeamLead_Reports!$A:$A,Dashboard!$B$2,TeamLead_Reports!$D:$D,$B50))</x:f>
      </x:c>
      <x:c r="O50" s="5">
        <x:f>IF($A50="","",SUMIFS(TeamLead_Reports!$P:$P,TeamLead_Reports!$A:$A,Dashboard!$B$2,TeamLead_Reports!$D:$D,$B50))</x:f>
      </x:c>
      <x:c r="P50" s="5">
        <x:f>IF($A50="","",SUMIFS(TeamLead_Reports!$Q:$Q,TeamLead_Reports!$A:$A,Dashboard!$B$2,TeamLead_Reports!$D:$D,$B50))</x:f>
      </x:c>
      <x:c r="Q50" s="5">
        <x:f>IF($A50="","",SUMIFS(TeamLead_Reports!$R:$R,TeamLead_Reports!$A:$A,Dashboard!$B$2,TeamLead_Reports!$D:$D,$B50))</x:f>
      </x:c>
      <x:c r="R50" s="5">
        <x:f>IF($A50="","",SUMIFS(TeamLead_Reports!$S:$S,TeamLead_Reports!$A:$A,Dashboard!$B$2,TeamLead_Reports!$D:$D,$B50))</x:f>
      </x:c>
    </x:row>
    <x:row r="51">
      <x:c r="A51" s="5">
        <x:f>Settings!E51</x:f>
        <x:v>0</x:v>
      </x:c>
      <x:c r="B51" s="5">
        <x:f>Settings!F51</x:f>
        <x:v>0</x:v>
      </x:c>
      <x:c r="C51" s="5">
        <x:f>Settings!G51</x:f>
        <x:v>0</x:v>
      </x:c>
      <x:c r="D51" s="5">
        <x:f>IF($A51="","",COUNTIFS(TeamLead_Reports!$A:$A,Dashboard!$B$2,TeamLead_Reports!$D:$D,$B51))</x:f>
      </x:c>
      <x:c r="E51" s="5">
        <x:f>IF($A51="","",IFERROR(LOOKUP(2,1/((TeamLead_Reports!$A:$A=Dashboard!$B$2)*(TeamLead_Reports!$D:$D=$B51)),TeamLead_Reports!$V:$V),""))</x:f>
      </x:c>
      <x:c r="F51" s="5">
        <x:f>IF($A51="","",SUMIFS(TeamLead_Reports!$G:$G,TeamLead_Reports!$A:$A,Dashboard!$B$2,TeamLead_Reports!$D:$D,$B51))</x:f>
      </x:c>
      <x:c r="G51" s="5">
        <x:f>IF($A51="","",SUMIFS(TeamLead_Reports!$H:$H,TeamLead_Reports!$A:$A,Dashboard!$B$2,TeamLead_Reports!$D:$D,$B51))</x:f>
      </x:c>
      <x:c r="H51" s="5">
        <x:f>IF($A51="","",SUMIFS(TeamLead_Reports!$I:$I,TeamLead_Reports!$A:$A,Dashboard!$B$2,TeamLead_Reports!$D:$D,$B51))</x:f>
      </x:c>
      <x:c r="I51" s="5">
        <x:f>IF($A51="","",SUMIFS(TeamLead_Reports!$J:$J,TeamLead_Reports!$A:$A,Dashboard!$B$2,TeamLead_Reports!$D:$D,$B51))</x:f>
      </x:c>
      <x:c r="J51" s="5">
        <x:f>IF($A51="","",SUMIFS(TeamLead_Reports!$K:$K,TeamLead_Reports!$A:$A,Dashboard!$B$2,TeamLead_Reports!$D:$D,$B51))</x:f>
      </x:c>
      <x:c r="K51" s="5">
        <x:f>IF($A51="","",SUMIFS(TeamLead_Reports!$L:$L,TeamLead_Reports!$A:$A,Dashboard!$B$2,TeamLead_Reports!$D:$D,$B51))</x:f>
      </x:c>
      <x:c r="L51" s="5">
        <x:f>IF($A51="","",SUMIFS(TeamLead_Reports!$M:$M,TeamLead_Reports!$A:$A,Dashboard!$B$2,TeamLead_Reports!$D:$D,$B51))</x:f>
      </x:c>
      <x:c r="M51" s="5">
        <x:f>IF($A51="","",SUMIFS(TeamLead_Reports!$N:$N,TeamLead_Reports!$A:$A,Dashboard!$B$2,TeamLead_Reports!$D:$D,$B51))</x:f>
      </x:c>
      <x:c r="N51" s="5">
        <x:f>IF($A51="","",SUMIFS(TeamLead_Reports!$O:$O,TeamLead_Reports!$A:$A,Dashboard!$B$2,TeamLead_Reports!$D:$D,$B51))</x:f>
      </x:c>
      <x:c r="O51" s="5">
        <x:f>IF($A51="","",SUMIFS(TeamLead_Reports!$P:$P,TeamLead_Reports!$A:$A,Dashboard!$B$2,TeamLead_Reports!$D:$D,$B51))</x:f>
      </x:c>
      <x:c r="P51" s="5">
        <x:f>IF($A51="","",SUMIFS(TeamLead_Reports!$Q:$Q,TeamLead_Reports!$A:$A,Dashboard!$B$2,TeamLead_Reports!$D:$D,$B51))</x:f>
      </x:c>
      <x:c r="Q51" s="5">
        <x:f>IF($A51="","",SUMIFS(TeamLead_Reports!$R:$R,TeamLead_Reports!$A:$A,Dashboard!$B$2,TeamLead_Reports!$D:$D,$B51))</x:f>
      </x:c>
      <x:c r="R51" s="5">
        <x:f>IF($A51="","",SUMIFS(TeamLead_Reports!$S:$S,TeamLead_Reports!$A:$A,Dashboard!$B$2,TeamLead_Reports!$D:$D,$B51))</x:f>
      </x:c>
    </x:row>
    <x:row r="52">
      <x:c r="A52" s="5">
        <x:f>Settings!E52</x:f>
        <x:v>0</x:v>
      </x:c>
      <x:c r="B52" s="5">
        <x:f>Settings!F52</x:f>
        <x:v>0</x:v>
      </x:c>
      <x:c r="C52" s="5">
        <x:f>Settings!G52</x:f>
        <x:v>0</x:v>
      </x:c>
      <x:c r="D52" s="5">
        <x:f>IF($A52="","",COUNTIFS(TeamLead_Reports!$A:$A,Dashboard!$B$2,TeamLead_Reports!$D:$D,$B52))</x:f>
      </x:c>
      <x:c r="E52" s="5">
        <x:f>IF($A52="","",IFERROR(LOOKUP(2,1/((TeamLead_Reports!$A:$A=Dashboard!$B$2)*(TeamLead_Reports!$D:$D=$B52)),TeamLead_Reports!$V:$V),""))</x:f>
      </x:c>
      <x:c r="F52" s="5">
        <x:f>IF($A52="","",SUMIFS(TeamLead_Reports!$G:$G,TeamLead_Reports!$A:$A,Dashboard!$B$2,TeamLead_Reports!$D:$D,$B52))</x:f>
      </x:c>
      <x:c r="G52" s="5">
        <x:f>IF($A52="","",SUMIFS(TeamLead_Reports!$H:$H,TeamLead_Reports!$A:$A,Dashboard!$B$2,TeamLead_Reports!$D:$D,$B52))</x:f>
      </x:c>
      <x:c r="H52" s="5">
        <x:f>IF($A52="","",SUMIFS(TeamLead_Reports!$I:$I,TeamLead_Reports!$A:$A,Dashboard!$B$2,TeamLead_Reports!$D:$D,$B52))</x:f>
      </x:c>
      <x:c r="I52" s="5">
        <x:f>IF($A52="","",SUMIFS(TeamLead_Reports!$J:$J,TeamLead_Reports!$A:$A,Dashboard!$B$2,TeamLead_Reports!$D:$D,$B52))</x:f>
      </x:c>
      <x:c r="J52" s="5">
        <x:f>IF($A52="","",SUMIFS(TeamLead_Reports!$K:$K,TeamLead_Reports!$A:$A,Dashboard!$B$2,TeamLead_Reports!$D:$D,$B52))</x:f>
      </x:c>
      <x:c r="K52" s="5">
        <x:f>IF($A52="","",SUMIFS(TeamLead_Reports!$L:$L,TeamLead_Reports!$A:$A,Dashboard!$B$2,TeamLead_Reports!$D:$D,$B52))</x:f>
      </x:c>
      <x:c r="L52" s="5">
        <x:f>IF($A52="","",SUMIFS(TeamLead_Reports!$M:$M,TeamLead_Reports!$A:$A,Dashboard!$B$2,TeamLead_Reports!$D:$D,$B52))</x:f>
      </x:c>
      <x:c r="M52" s="5">
        <x:f>IF($A52="","",SUMIFS(TeamLead_Reports!$N:$N,TeamLead_Reports!$A:$A,Dashboard!$B$2,TeamLead_Reports!$D:$D,$B52))</x:f>
      </x:c>
      <x:c r="N52" s="5">
        <x:f>IF($A52="","",SUMIFS(TeamLead_Reports!$O:$O,TeamLead_Reports!$A:$A,Dashboard!$B$2,TeamLead_Reports!$D:$D,$B52))</x:f>
      </x:c>
      <x:c r="O52" s="5">
        <x:f>IF($A52="","",SUMIFS(TeamLead_Reports!$P:$P,TeamLead_Reports!$A:$A,Dashboard!$B$2,TeamLead_Reports!$D:$D,$B52))</x:f>
      </x:c>
      <x:c r="P52" s="5">
        <x:f>IF($A52="","",SUMIFS(TeamLead_Reports!$Q:$Q,TeamLead_Reports!$A:$A,Dashboard!$B$2,TeamLead_Reports!$D:$D,$B52))</x:f>
      </x:c>
      <x:c r="Q52" s="5">
        <x:f>IF($A52="","",SUMIFS(TeamLead_Reports!$R:$R,TeamLead_Reports!$A:$A,Dashboard!$B$2,TeamLead_Reports!$D:$D,$B52))</x:f>
      </x:c>
      <x:c r="R52" s="5">
        <x:f>IF($A52="","",SUMIFS(TeamLead_Reports!$S:$S,TeamLead_Reports!$A:$A,Dashboard!$B$2,TeamLead_Reports!$D:$D,$B52))</x:f>
      </x:c>
    </x:row>
    <x:row r="53">
      <x:c r="A53" s="5">
        <x:f>Settings!E53</x:f>
        <x:v>0</x:v>
      </x:c>
      <x:c r="B53" s="5">
        <x:f>Settings!F53</x:f>
        <x:v>0</x:v>
      </x:c>
      <x:c r="C53" s="5">
        <x:f>Settings!G53</x:f>
        <x:v>0</x:v>
      </x:c>
      <x:c r="D53" s="5">
        <x:f>IF($A53="","",COUNTIFS(TeamLead_Reports!$A:$A,Dashboard!$B$2,TeamLead_Reports!$D:$D,$B53))</x:f>
      </x:c>
      <x:c r="E53" s="5">
        <x:f>IF($A53="","",IFERROR(LOOKUP(2,1/((TeamLead_Reports!$A:$A=Dashboard!$B$2)*(TeamLead_Reports!$D:$D=$B53)),TeamLead_Reports!$V:$V),""))</x:f>
      </x:c>
      <x:c r="F53" s="5">
        <x:f>IF($A53="","",SUMIFS(TeamLead_Reports!$G:$G,TeamLead_Reports!$A:$A,Dashboard!$B$2,TeamLead_Reports!$D:$D,$B53))</x:f>
      </x:c>
      <x:c r="G53" s="5">
        <x:f>IF($A53="","",SUMIFS(TeamLead_Reports!$H:$H,TeamLead_Reports!$A:$A,Dashboard!$B$2,TeamLead_Reports!$D:$D,$B53))</x:f>
      </x:c>
      <x:c r="H53" s="5">
        <x:f>IF($A53="","",SUMIFS(TeamLead_Reports!$I:$I,TeamLead_Reports!$A:$A,Dashboard!$B$2,TeamLead_Reports!$D:$D,$B53))</x:f>
      </x:c>
      <x:c r="I53" s="5">
        <x:f>IF($A53="","",SUMIFS(TeamLead_Reports!$J:$J,TeamLead_Reports!$A:$A,Dashboard!$B$2,TeamLead_Reports!$D:$D,$B53))</x:f>
      </x:c>
      <x:c r="J53" s="5">
        <x:f>IF($A53="","",SUMIFS(TeamLead_Reports!$K:$K,TeamLead_Reports!$A:$A,Dashboard!$B$2,TeamLead_Reports!$D:$D,$B53))</x:f>
      </x:c>
      <x:c r="K53" s="5">
        <x:f>IF($A53="","",SUMIFS(TeamLead_Reports!$L:$L,TeamLead_Reports!$A:$A,Dashboard!$B$2,TeamLead_Reports!$D:$D,$B53))</x:f>
      </x:c>
      <x:c r="L53" s="5">
        <x:f>IF($A53="","",SUMIFS(TeamLead_Reports!$M:$M,TeamLead_Reports!$A:$A,Dashboard!$B$2,TeamLead_Reports!$D:$D,$B53))</x:f>
      </x:c>
      <x:c r="M53" s="5">
        <x:f>IF($A53="","",SUMIFS(TeamLead_Reports!$N:$N,TeamLead_Reports!$A:$A,Dashboard!$B$2,TeamLead_Reports!$D:$D,$B53))</x:f>
      </x:c>
      <x:c r="N53" s="5">
        <x:f>IF($A53="","",SUMIFS(TeamLead_Reports!$O:$O,TeamLead_Reports!$A:$A,Dashboard!$B$2,TeamLead_Reports!$D:$D,$B53))</x:f>
      </x:c>
      <x:c r="O53" s="5">
        <x:f>IF($A53="","",SUMIFS(TeamLead_Reports!$P:$P,TeamLead_Reports!$A:$A,Dashboard!$B$2,TeamLead_Reports!$D:$D,$B53))</x:f>
      </x:c>
      <x:c r="P53" s="5">
        <x:f>IF($A53="","",SUMIFS(TeamLead_Reports!$Q:$Q,TeamLead_Reports!$A:$A,Dashboard!$B$2,TeamLead_Reports!$D:$D,$B53))</x:f>
      </x:c>
      <x:c r="Q53" s="5">
        <x:f>IF($A53="","",SUMIFS(TeamLead_Reports!$R:$R,TeamLead_Reports!$A:$A,Dashboard!$B$2,TeamLead_Reports!$D:$D,$B53))</x:f>
      </x:c>
      <x:c r="R53" s="5">
        <x:f>IF($A53="","",SUMIFS(TeamLead_Reports!$S:$S,TeamLead_Reports!$A:$A,Dashboard!$B$2,TeamLead_Reports!$D:$D,$B53))</x:f>
      </x:c>
    </x:row>
    <x:row r="54">
      <x:c r="A54" s="5">
        <x:f>Settings!E54</x:f>
        <x:v>0</x:v>
      </x:c>
      <x:c r="B54" s="5">
        <x:f>Settings!F54</x:f>
        <x:v>0</x:v>
      </x:c>
      <x:c r="C54" s="5">
        <x:f>Settings!G54</x:f>
        <x:v>0</x:v>
      </x:c>
      <x:c r="D54" s="5">
        <x:f>IF($A54="","",COUNTIFS(TeamLead_Reports!$A:$A,Dashboard!$B$2,TeamLead_Reports!$D:$D,$B54))</x:f>
      </x:c>
      <x:c r="E54" s="5">
        <x:f>IF($A54="","",IFERROR(LOOKUP(2,1/((TeamLead_Reports!$A:$A=Dashboard!$B$2)*(TeamLead_Reports!$D:$D=$B54)),TeamLead_Reports!$V:$V),""))</x:f>
      </x:c>
      <x:c r="F54" s="5">
        <x:f>IF($A54="","",SUMIFS(TeamLead_Reports!$G:$G,TeamLead_Reports!$A:$A,Dashboard!$B$2,TeamLead_Reports!$D:$D,$B54))</x:f>
      </x:c>
      <x:c r="G54" s="5">
        <x:f>IF($A54="","",SUMIFS(TeamLead_Reports!$H:$H,TeamLead_Reports!$A:$A,Dashboard!$B$2,TeamLead_Reports!$D:$D,$B54))</x:f>
      </x:c>
      <x:c r="H54" s="5">
        <x:f>IF($A54="","",SUMIFS(TeamLead_Reports!$I:$I,TeamLead_Reports!$A:$A,Dashboard!$B$2,TeamLead_Reports!$D:$D,$B54))</x:f>
      </x:c>
      <x:c r="I54" s="5">
        <x:f>IF($A54="","",SUMIFS(TeamLead_Reports!$J:$J,TeamLead_Reports!$A:$A,Dashboard!$B$2,TeamLead_Reports!$D:$D,$B54))</x:f>
      </x:c>
      <x:c r="J54" s="5">
        <x:f>IF($A54="","",SUMIFS(TeamLead_Reports!$K:$K,TeamLead_Reports!$A:$A,Dashboard!$B$2,TeamLead_Reports!$D:$D,$B54))</x:f>
      </x:c>
      <x:c r="K54" s="5">
        <x:f>IF($A54="","",SUMIFS(TeamLead_Reports!$L:$L,TeamLead_Reports!$A:$A,Dashboard!$B$2,TeamLead_Reports!$D:$D,$B54))</x:f>
      </x:c>
      <x:c r="L54" s="5">
        <x:f>IF($A54="","",SUMIFS(TeamLead_Reports!$M:$M,TeamLead_Reports!$A:$A,Dashboard!$B$2,TeamLead_Reports!$D:$D,$B54))</x:f>
      </x:c>
      <x:c r="M54" s="5">
        <x:f>IF($A54="","",SUMIFS(TeamLead_Reports!$N:$N,TeamLead_Reports!$A:$A,Dashboard!$B$2,TeamLead_Reports!$D:$D,$B54))</x:f>
      </x:c>
      <x:c r="N54" s="5">
        <x:f>IF($A54="","",SUMIFS(TeamLead_Reports!$O:$O,TeamLead_Reports!$A:$A,Dashboard!$B$2,TeamLead_Reports!$D:$D,$B54))</x:f>
      </x:c>
      <x:c r="O54" s="5">
        <x:f>IF($A54="","",SUMIFS(TeamLead_Reports!$P:$P,TeamLead_Reports!$A:$A,Dashboard!$B$2,TeamLead_Reports!$D:$D,$B54))</x:f>
      </x:c>
      <x:c r="P54" s="5">
        <x:f>IF($A54="","",SUMIFS(TeamLead_Reports!$Q:$Q,TeamLead_Reports!$A:$A,Dashboard!$B$2,TeamLead_Reports!$D:$D,$B54))</x:f>
      </x:c>
      <x:c r="Q54" s="5">
        <x:f>IF($A54="","",SUMIFS(TeamLead_Reports!$R:$R,TeamLead_Reports!$A:$A,Dashboard!$B$2,TeamLead_Reports!$D:$D,$B54))</x:f>
      </x:c>
      <x:c r="R54" s="5">
        <x:f>IF($A54="","",SUMIFS(TeamLead_Reports!$S:$S,TeamLead_Reports!$A:$A,Dashboard!$B$2,TeamLead_Reports!$D:$D,$B54))</x:f>
      </x:c>
    </x:row>
    <x:row r="55">
      <x:c r="A55" s="5">
        <x:f>Settings!E55</x:f>
        <x:v>0</x:v>
      </x:c>
      <x:c r="B55" s="5">
        <x:f>Settings!F55</x:f>
        <x:v>0</x:v>
      </x:c>
      <x:c r="C55" s="5">
        <x:f>Settings!G55</x:f>
        <x:v>0</x:v>
      </x:c>
      <x:c r="D55" s="5">
        <x:f>IF($A55="","",COUNTIFS(TeamLead_Reports!$A:$A,Dashboard!$B$2,TeamLead_Reports!$D:$D,$B55))</x:f>
      </x:c>
      <x:c r="E55" s="5">
        <x:f>IF($A55="","",IFERROR(LOOKUP(2,1/((TeamLead_Reports!$A:$A=Dashboard!$B$2)*(TeamLead_Reports!$D:$D=$B55)),TeamLead_Reports!$V:$V),""))</x:f>
      </x:c>
      <x:c r="F55" s="5">
        <x:f>IF($A55="","",SUMIFS(TeamLead_Reports!$G:$G,TeamLead_Reports!$A:$A,Dashboard!$B$2,TeamLead_Reports!$D:$D,$B55))</x:f>
      </x:c>
      <x:c r="G55" s="5">
        <x:f>IF($A55="","",SUMIFS(TeamLead_Reports!$H:$H,TeamLead_Reports!$A:$A,Dashboard!$B$2,TeamLead_Reports!$D:$D,$B55))</x:f>
      </x:c>
      <x:c r="H55" s="5">
        <x:f>IF($A55="","",SUMIFS(TeamLead_Reports!$I:$I,TeamLead_Reports!$A:$A,Dashboard!$B$2,TeamLead_Reports!$D:$D,$B55))</x:f>
      </x:c>
      <x:c r="I55" s="5">
        <x:f>IF($A55="","",SUMIFS(TeamLead_Reports!$J:$J,TeamLead_Reports!$A:$A,Dashboard!$B$2,TeamLead_Reports!$D:$D,$B55))</x:f>
      </x:c>
      <x:c r="J55" s="5">
        <x:f>IF($A55="","",SUMIFS(TeamLead_Reports!$K:$K,TeamLead_Reports!$A:$A,Dashboard!$B$2,TeamLead_Reports!$D:$D,$B55))</x:f>
      </x:c>
      <x:c r="K55" s="5">
        <x:f>IF($A55="","",SUMIFS(TeamLead_Reports!$L:$L,TeamLead_Reports!$A:$A,Dashboard!$B$2,TeamLead_Reports!$D:$D,$B55))</x:f>
      </x:c>
      <x:c r="L55" s="5">
        <x:f>IF($A55="","",SUMIFS(TeamLead_Reports!$M:$M,TeamLead_Reports!$A:$A,Dashboard!$B$2,TeamLead_Reports!$D:$D,$B55))</x:f>
      </x:c>
      <x:c r="M55" s="5">
        <x:f>IF($A55="","",SUMIFS(TeamLead_Reports!$N:$N,TeamLead_Reports!$A:$A,Dashboard!$B$2,TeamLead_Reports!$D:$D,$B55))</x:f>
      </x:c>
      <x:c r="N55" s="5">
        <x:f>IF($A55="","",SUMIFS(TeamLead_Reports!$O:$O,TeamLead_Reports!$A:$A,Dashboard!$B$2,TeamLead_Reports!$D:$D,$B55))</x:f>
      </x:c>
      <x:c r="O55" s="5">
        <x:f>IF($A55="","",SUMIFS(TeamLead_Reports!$P:$P,TeamLead_Reports!$A:$A,Dashboard!$B$2,TeamLead_Reports!$D:$D,$B55))</x:f>
      </x:c>
      <x:c r="P55" s="5">
        <x:f>IF($A55="","",SUMIFS(TeamLead_Reports!$Q:$Q,TeamLead_Reports!$A:$A,Dashboard!$B$2,TeamLead_Reports!$D:$D,$B55))</x:f>
      </x:c>
      <x:c r="Q55" s="5">
        <x:f>IF($A55="","",SUMIFS(TeamLead_Reports!$R:$R,TeamLead_Reports!$A:$A,Dashboard!$B$2,TeamLead_Reports!$D:$D,$B55))</x:f>
      </x:c>
      <x:c r="R55" s="5">
        <x:f>IF($A55="","",SUMIFS(TeamLead_Reports!$S:$S,TeamLead_Reports!$A:$A,Dashboard!$B$2,TeamLead_Reports!$D:$D,$B55))</x:f>
      </x:c>
    </x:row>
    <x:row r="56">
      <x:c r="A56" s="5">
        <x:f>Settings!E56</x:f>
        <x:v>0</x:v>
      </x:c>
      <x:c r="B56" s="5">
        <x:f>Settings!F56</x:f>
        <x:v>0</x:v>
      </x:c>
      <x:c r="C56" s="5">
        <x:f>Settings!G56</x:f>
        <x:v>0</x:v>
      </x:c>
      <x:c r="D56" s="5">
        <x:f>IF($A56="","",COUNTIFS(TeamLead_Reports!$A:$A,Dashboard!$B$2,TeamLead_Reports!$D:$D,$B56))</x:f>
      </x:c>
      <x:c r="E56" s="5">
        <x:f>IF($A56="","",IFERROR(LOOKUP(2,1/((TeamLead_Reports!$A:$A=Dashboard!$B$2)*(TeamLead_Reports!$D:$D=$B56)),TeamLead_Reports!$V:$V),""))</x:f>
      </x:c>
      <x:c r="F56" s="5">
        <x:f>IF($A56="","",SUMIFS(TeamLead_Reports!$G:$G,TeamLead_Reports!$A:$A,Dashboard!$B$2,TeamLead_Reports!$D:$D,$B56))</x:f>
      </x:c>
      <x:c r="G56" s="5">
        <x:f>IF($A56="","",SUMIFS(TeamLead_Reports!$H:$H,TeamLead_Reports!$A:$A,Dashboard!$B$2,TeamLead_Reports!$D:$D,$B56))</x:f>
      </x:c>
      <x:c r="H56" s="5">
        <x:f>IF($A56="","",SUMIFS(TeamLead_Reports!$I:$I,TeamLead_Reports!$A:$A,Dashboard!$B$2,TeamLead_Reports!$D:$D,$B56))</x:f>
      </x:c>
      <x:c r="I56" s="5">
        <x:f>IF($A56="","",SUMIFS(TeamLead_Reports!$J:$J,TeamLead_Reports!$A:$A,Dashboard!$B$2,TeamLead_Reports!$D:$D,$B56))</x:f>
      </x:c>
      <x:c r="J56" s="5">
        <x:f>IF($A56="","",SUMIFS(TeamLead_Reports!$K:$K,TeamLead_Reports!$A:$A,Dashboard!$B$2,TeamLead_Reports!$D:$D,$B56))</x:f>
      </x:c>
      <x:c r="K56" s="5">
        <x:f>IF($A56="","",SUMIFS(TeamLead_Reports!$L:$L,TeamLead_Reports!$A:$A,Dashboard!$B$2,TeamLead_Reports!$D:$D,$B56))</x:f>
      </x:c>
      <x:c r="L56" s="5">
        <x:f>IF($A56="","",SUMIFS(TeamLead_Reports!$M:$M,TeamLead_Reports!$A:$A,Dashboard!$B$2,TeamLead_Reports!$D:$D,$B56))</x:f>
      </x:c>
      <x:c r="M56" s="5">
        <x:f>IF($A56="","",SUMIFS(TeamLead_Reports!$N:$N,TeamLead_Reports!$A:$A,Dashboard!$B$2,TeamLead_Reports!$D:$D,$B56))</x:f>
      </x:c>
      <x:c r="N56" s="5">
        <x:f>IF($A56="","",SUMIFS(TeamLead_Reports!$O:$O,TeamLead_Reports!$A:$A,Dashboard!$B$2,TeamLead_Reports!$D:$D,$B56))</x:f>
      </x:c>
      <x:c r="O56" s="5">
        <x:f>IF($A56="","",SUMIFS(TeamLead_Reports!$P:$P,TeamLead_Reports!$A:$A,Dashboard!$B$2,TeamLead_Reports!$D:$D,$B56))</x:f>
      </x:c>
      <x:c r="P56" s="5">
        <x:f>IF($A56="","",SUMIFS(TeamLead_Reports!$Q:$Q,TeamLead_Reports!$A:$A,Dashboard!$B$2,TeamLead_Reports!$D:$D,$B56))</x:f>
      </x:c>
      <x:c r="Q56" s="5">
        <x:f>IF($A56="","",SUMIFS(TeamLead_Reports!$R:$R,TeamLead_Reports!$A:$A,Dashboard!$B$2,TeamLead_Reports!$D:$D,$B56))</x:f>
      </x:c>
      <x:c r="R56" s="5">
        <x:f>IF($A56="","",SUMIFS(TeamLead_Reports!$S:$S,TeamLead_Reports!$A:$A,Dashboard!$B$2,TeamLead_Reports!$D:$D,$B56))</x:f>
      </x:c>
    </x:row>
    <x:row r="57">
      <x:c r="A57" s="5">
        <x:f>Settings!E57</x:f>
        <x:v>0</x:v>
      </x:c>
      <x:c r="B57" s="5">
        <x:f>Settings!F57</x:f>
        <x:v>0</x:v>
      </x:c>
      <x:c r="C57" s="5">
        <x:f>Settings!G57</x:f>
        <x:v>0</x:v>
      </x:c>
      <x:c r="D57" s="5">
        <x:f>IF($A57="","",COUNTIFS(TeamLead_Reports!$A:$A,Dashboard!$B$2,TeamLead_Reports!$D:$D,$B57))</x:f>
      </x:c>
      <x:c r="E57" s="5">
        <x:f>IF($A57="","",IFERROR(LOOKUP(2,1/((TeamLead_Reports!$A:$A=Dashboard!$B$2)*(TeamLead_Reports!$D:$D=$B57)),TeamLead_Reports!$V:$V),""))</x:f>
      </x:c>
      <x:c r="F57" s="5">
        <x:f>IF($A57="","",SUMIFS(TeamLead_Reports!$G:$G,TeamLead_Reports!$A:$A,Dashboard!$B$2,TeamLead_Reports!$D:$D,$B57))</x:f>
      </x:c>
      <x:c r="G57" s="5">
        <x:f>IF($A57="","",SUMIFS(TeamLead_Reports!$H:$H,TeamLead_Reports!$A:$A,Dashboard!$B$2,TeamLead_Reports!$D:$D,$B57))</x:f>
      </x:c>
      <x:c r="H57" s="5">
        <x:f>IF($A57="","",SUMIFS(TeamLead_Reports!$I:$I,TeamLead_Reports!$A:$A,Dashboard!$B$2,TeamLead_Reports!$D:$D,$B57))</x:f>
      </x:c>
      <x:c r="I57" s="5">
        <x:f>IF($A57="","",SUMIFS(TeamLead_Reports!$J:$J,TeamLead_Reports!$A:$A,Dashboard!$B$2,TeamLead_Reports!$D:$D,$B57))</x:f>
      </x:c>
      <x:c r="J57" s="5">
        <x:f>IF($A57="","",SUMIFS(TeamLead_Reports!$K:$K,TeamLead_Reports!$A:$A,Dashboard!$B$2,TeamLead_Reports!$D:$D,$B57))</x:f>
      </x:c>
      <x:c r="K57" s="5">
        <x:f>IF($A57="","",SUMIFS(TeamLead_Reports!$L:$L,TeamLead_Reports!$A:$A,Dashboard!$B$2,TeamLead_Reports!$D:$D,$B57))</x:f>
      </x:c>
      <x:c r="L57" s="5">
        <x:f>IF($A57="","",SUMIFS(TeamLead_Reports!$M:$M,TeamLead_Reports!$A:$A,Dashboard!$B$2,TeamLead_Reports!$D:$D,$B57))</x:f>
      </x:c>
      <x:c r="M57" s="5">
        <x:f>IF($A57="","",SUMIFS(TeamLead_Reports!$N:$N,TeamLead_Reports!$A:$A,Dashboard!$B$2,TeamLead_Reports!$D:$D,$B57))</x:f>
      </x:c>
      <x:c r="N57" s="5">
        <x:f>IF($A57="","",SUMIFS(TeamLead_Reports!$O:$O,TeamLead_Reports!$A:$A,Dashboard!$B$2,TeamLead_Reports!$D:$D,$B57))</x:f>
      </x:c>
      <x:c r="O57" s="5">
        <x:f>IF($A57="","",SUMIFS(TeamLead_Reports!$P:$P,TeamLead_Reports!$A:$A,Dashboard!$B$2,TeamLead_Reports!$D:$D,$B57))</x:f>
      </x:c>
      <x:c r="P57" s="5">
        <x:f>IF($A57="","",SUMIFS(TeamLead_Reports!$Q:$Q,TeamLead_Reports!$A:$A,Dashboard!$B$2,TeamLead_Reports!$D:$D,$B57))</x:f>
      </x:c>
      <x:c r="Q57" s="5">
        <x:f>IF($A57="","",SUMIFS(TeamLead_Reports!$R:$R,TeamLead_Reports!$A:$A,Dashboard!$B$2,TeamLead_Reports!$D:$D,$B57))</x:f>
      </x:c>
      <x:c r="R57" s="5">
        <x:f>IF($A57="","",SUMIFS(TeamLead_Reports!$S:$S,TeamLead_Reports!$A:$A,Dashboard!$B$2,TeamLead_Reports!$D:$D,$B57))</x:f>
      </x:c>
    </x:row>
    <x:row r="58">
      <x:c r="A58" s="5">
        <x:f>Settings!E58</x:f>
        <x:v>0</x:v>
      </x:c>
      <x:c r="B58" s="5">
        <x:f>Settings!F58</x:f>
        <x:v>0</x:v>
      </x:c>
      <x:c r="C58" s="5">
        <x:f>Settings!G58</x:f>
        <x:v>0</x:v>
      </x:c>
      <x:c r="D58" s="5">
        <x:f>IF($A58="","",COUNTIFS(TeamLead_Reports!$A:$A,Dashboard!$B$2,TeamLead_Reports!$D:$D,$B58))</x:f>
      </x:c>
      <x:c r="E58" s="5">
        <x:f>IF($A58="","",IFERROR(LOOKUP(2,1/((TeamLead_Reports!$A:$A=Dashboard!$B$2)*(TeamLead_Reports!$D:$D=$B58)),TeamLead_Reports!$V:$V),""))</x:f>
      </x:c>
      <x:c r="F58" s="5">
        <x:f>IF($A58="","",SUMIFS(TeamLead_Reports!$G:$G,TeamLead_Reports!$A:$A,Dashboard!$B$2,TeamLead_Reports!$D:$D,$B58))</x:f>
      </x:c>
      <x:c r="G58" s="5">
        <x:f>IF($A58="","",SUMIFS(TeamLead_Reports!$H:$H,TeamLead_Reports!$A:$A,Dashboard!$B$2,TeamLead_Reports!$D:$D,$B58))</x:f>
      </x:c>
      <x:c r="H58" s="5">
        <x:f>IF($A58="","",SUMIFS(TeamLead_Reports!$I:$I,TeamLead_Reports!$A:$A,Dashboard!$B$2,TeamLead_Reports!$D:$D,$B58))</x:f>
      </x:c>
      <x:c r="I58" s="5">
        <x:f>IF($A58="","",SUMIFS(TeamLead_Reports!$J:$J,TeamLead_Reports!$A:$A,Dashboard!$B$2,TeamLead_Reports!$D:$D,$B58))</x:f>
      </x:c>
      <x:c r="J58" s="5">
        <x:f>IF($A58="","",SUMIFS(TeamLead_Reports!$K:$K,TeamLead_Reports!$A:$A,Dashboard!$B$2,TeamLead_Reports!$D:$D,$B58))</x:f>
      </x:c>
      <x:c r="K58" s="5">
        <x:f>IF($A58="","",SUMIFS(TeamLead_Reports!$L:$L,TeamLead_Reports!$A:$A,Dashboard!$B$2,TeamLead_Reports!$D:$D,$B58))</x:f>
      </x:c>
      <x:c r="L58" s="5">
        <x:f>IF($A58="","",SUMIFS(TeamLead_Reports!$M:$M,TeamLead_Reports!$A:$A,Dashboard!$B$2,TeamLead_Reports!$D:$D,$B58))</x:f>
      </x:c>
      <x:c r="M58" s="5">
        <x:f>IF($A58="","",SUMIFS(TeamLead_Reports!$N:$N,TeamLead_Reports!$A:$A,Dashboard!$B$2,TeamLead_Reports!$D:$D,$B58))</x:f>
      </x:c>
      <x:c r="N58" s="5">
        <x:f>IF($A58="","",SUMIFS(TeamLead_Reports!$O:$O,TeamLead_Reports!$A:$A,Dashboard!$B$2,TeamLead_Reports!$D:$D,$B58))</x:f>
      </x:c>
      <x:c r="O58" s="5">
        <x:f>IF($A58="","",SUMIFS(TeamLead_Reports!$P:$P,TeamLead_Reports!$A:$A,Dashboard!$B$2,TeamLead_Reports!$D:$D,$B58))</x:f>
      </x:c>
      <x:c r="P58" s="5">
        <x:f>IF($A58="","",SUMIFS(TeamLead_Reports!$Q:$Q,TeamLead_Reports!$A:$A,Dashboard!$B$2,TeamLead_Reports!$D:$D,$B58))</x:f>
      </x:c>
      <x:c r="Q58" s="5">
        <x:f>IF($A58="","",SUMIFS(TeamLead_Reports!$R:$R,TeamLead_Reports!$A:$A,Dashboard!$B$2,TeamLead_Reports!$D:$D,$B58))</x:f>
      </x:c>
      <x:c r="R58" s="5">
        <x:f>IF($A58="","",SUMIFS(TeamLead_Reports!$S:$S,TeamLead_Reports!$A:$A,Dashboard!$B$2,TeamLead_Reports!$D:$D,$B58))</x:f>
      </x:c>
    </x:row>
    <x:row r="59">
      <x:c r="A59" s="5">
        <x:f>Settings!E59</x:f>
        <x:v>0</x:v>
      </x:c>
      <x:c r="B59" s="5">
        <x:f>Settings!F59</x:f>
        <x:v>0</x:v>
      </x:c>
      <x:c r="C59" s="5">
        <x:f>Settings!G59</x:f>
        <x:v>0</x:v>
      </x:c>
      <x:c r="D59" s="5">
        <x:f>IF($A59="","",COUNTIFS(TeamLead_Reports!$A:$A,Dashboard!$B$2,TeamLead_Reports!$D:$D,$B59))</x:f>
      </x:c>
      <x:c r="E59" s="5">
        <x:f>IF($A59="","",IFERROR(LOOKUP(2,1/((TeamLead_Reports!$A:$A=Dashboard!$B$2)*(TeamLead_Reports!$D:$D=$B59)),TeamLead_Reports!$V:$V),""))</x:f>
      </x:c>
      <x:c r="F59" s="5">
        <x:f>IF($A59="","",SUMIFS(TeamLead_Reports!$G:$G,TeamLead_Reports!$A:$A,Dashboard!$B$2,TeamLead_Reports!$D:$D,$B59))</x:f>
      </x:c>
      <x:c r="G59" s="5">
        <x:f>IF($A59="","",SUMIFS(TeamLead_Reports!$H:$H,TeamLead_Reports!$A:$A,Dashboard!$B$2,TeamLead_Reports!$D:$D,$B59))</x:f>
      </x:c>
      <x:c r="H59" s="5">
        <x:f>IF($A59="","",SUMIFS(TeamLead_Reports!$I:$I,TeamLead_Reports!$A:$A,Dashboard!$B$2,TeamLead_Reports!$D:$D,$B59))</x:f>
      </x:c>
      <x:c r="I59" s="5">
        <x:f>IF($A59="","",SUMIFS(TeamLead_Reports!$J:$J,TeamLead_Reports!$A:$A,Dashboard!$B$2,TeamLead_Reports!$D:$D,$B59))</x:f>
      </x:c>
      <x:c r="J59" s="5">
        <x:f>IF($A59="","",SUMIFS(TeamLead_Reports!$K:$K,TeamLead_Reports!$A:$A,Dashboard!$B$2,TeamLead_Reports!$D:$D,$B59))</x:f>
      </x:c>
      <x:c r="K59" s="5">
        <x:f>IF($A59="","",SUMIFS(TeamLead_Reports!$L:$L,TeamLead_Reports!$A:$A,Dashboard!$B$2,TeamLead_Reports!$D:$D,$B59))</x:f>
      </x:c>
      <x:c r="L59" s="5">
        <x:f>IF($A59="","",SUMIFS(TeamLead_Reports!$M:$M,TeamLead_Reports!$A:$A,Dashboard!$B$2,TeamLead_Reports!$D:$D,$B59))</x:f>
      </x:c>
      <x:c r="M59" s="5">
        <x:f>IF($A59="","",SUMIFS(TeamLead_Reports!$N:$N,TeamLead_Reports!$A:$A,Dashboard!$B$2,TeamLead_Reports!$D:$D,$B59))</x:f>
      </x:c>
      <x:c r="N59" s="5">
        <x:f>IF($A59="","",SUMIFS(TeamLead_Reports!$O:$O,TeamLead_Reports!$A:$A,Dashboard!$B$2,TeamLead_Reports!$D:$D,$B59))</x:f>
      </x:c>
      <x:c r="O59" s="5">
        <x:f>IF($A59="","",SUMIFS(TeamLead_Reports!$P:$P,TeamLead_Reports!$A:$A,Dashboard!$B$2,TeamLead_Reports!$D:$D,$B59))</x:f>
      </x:c>
      <x:c r="P59" s="5">
        <x:f>IF($A59="","",SUMIFS(TeamLead_Reports!$Q:$Q,TeamLead_Reports!$A:$A,Dashboard!$B$2,TeamLead_Reports!$D:$D,$B59))</x:f>
      </x:c>
      <x:c r="Q59" s="5">
        <x:f>IF($A59="","",SUMIFS(TeamLead_Reports!$R:$R,TeamLead_Reports!$A:$A,Dashboard!$B$2,TeamLead_Reports!$D:$D,$B59))</x:f>
      </x:c>
      <x:c r="R59" s="5">
        <x:f>IF($A59="","",SUMIFS(TeamLead_Reports!$S:$S,TeamLead_Reports!$A:$A,Dashboard!$B$2,TeamLead_Reports!$D:$D,$B59))</x:f>
      </x:c>
    </x:row>
    <x:row r="60">
      <x:c r="A60" s="5">
        <x:f>Settings!E60</x:f>
        <x:v>0</x:v>
      </x:c>
      <x:c r="B60" s="5">
        <x:f>Settings!F60</x:f>
        <x:v>0</x:v>
      </x:c>
      <x:c r="C60" s="5">
        <x:f>Settings!G60</x:f>
        <x:v>0</x:v>
      </x:c>
      <x:c r="D60" s="5">
        <x:f>IF($A60="","",COUNTIFS(TeamLead_Reports!$A:$A,Dashboard!$B$2,TeamLead_Reports!$D:$D,$B60))</x:f>
      </x:c>
      <x:c r="E60" s="5">
        <x:f>IF($A60="","",IFERROR(LOOKUP(2,1/((TeamLead_Reports!$A:$A=Dashboard!$B$2)*(TeamLead_Reports!$D:$D=$B60)),TeamLead_Reports!$V:$V),""))</x:f>
      </x:c>
      <x:c r="F60" s="5">
        <x:f>IF($A60="","",SUMIFS(TeamLead_Reports!$G:$G,TeamLead_Reports!$A:$A,Dashboard!$B$2,TeamLead_Reports!$D:$D,$B60))</x:f>
      </x:c>
      <x:c r="G60" s="5">
        <x:f>IF($A60="","",SUMIFS(TeamLead_Reports!$H:$H,TeamLead_Reports!$A:$A,Dashboard!$B$2,TeamLead_Reports!$D:$D,$B60))</x:f>
      </x:c>
      <x:c r="H60" s="5">
        <x:f>IF($A60="","",SUMIFS(TeamLead_Reports!$I:$I,TeamLead_Reports!$A:$A,Dashboard!$B$2,TeamLead_Reports!$D:$D,$B60))</x:f>
      </x:c>
      <x:c r="I60" s="5">
        <x:f>IF($A60="","",SUMIFS(TeamLead_Reports!$J:$J,TeamLead_Reports!$A:$A,Dashboard!$B$2,TeamLead_Reports!$D:$D,$B60))</x:f>
      </x:c>
      <x:c r="J60" s="5">
        <x:f>IF($A60="","",SUMIFS(TeamLead_Reports!$K:$K,TeamLead_Reports!$A:$A,Dashboard!$B$2,TeamLead_Reports!$D:$D,$B60))</x:f>
      </x:c>
      <x:c r="K60" s="5">
        <x:f>IF($A60="","",SUMIFS(TeamLead_Reports!$L:$L,TeamLead_Reports!$A:$A,Dashboard!$B$2,TeamLead_Reports!$D:$D,$B60))</x:f>
      </x:c>
      <x:c r="L60" s="5">
        <x:f>IF($A60="","",SUMIFS(TeamLead_Reports!$M:$M,TeamLead_Reports!$A:$A,Dashboard!$B$2,TeamLead_Reports!$D:$D,$B60))</x:f>
      </x:c>
      <x:c r="M60" s="5">
        <x:f>IF($A60="","",SUMIFS(TeamLead_Reports!$N:$N,TeamLead_Reports!$A:$A,Dashboard!$B$2,TeamLead_Reports!$D:$D,$B60))</x:f>
      </x:c>
      <x:c r="N60" s="5">
        <x:f>IF($A60="","",SUMIFS(TeamLead_Reports!$O:$O,TeamLead_Reports!$A:$A,Dashboard!$B$2,TeamLead_Reports!$D:$D,$B60))</x:f>
      </x:c>
      <x:c r="O60" s="5">
        <x:f>IF($A60="","",SUMIFS(TeamLead_Reports!$P:$P,TeamLead_Reports!$A:$A,Dashboard!$B$2,TeamLead_Reports!$D:$D,$B60))</x:f>
      </x:c>
      <x:c r="P60" s="5">
        <x:f>IF($A60="","",SUMIFS(TeamLead_Reports!$Q:$Q,TeamLead_Reports!$A:$A,Dashboard!$B$2,TeamLead_Reports!$D:$D,$B60))</x:f>
      </x:c>
      <x:c r="Q60" s="5">
        <x:f>IF($A60="","",SUMIFS(TeamLead_Reports!$R:$R,TeamLead_Reports!$A:$A,Dashboard!$B$2,TeamLead_Reports!$D:$D,$B60))</x:f>
      </x:c>
      <x:c r="R60" s="5">
        <x:f>IF($A60="","",SUMIFS(TeamLead_Reports!$S:$S,TeamLead_Reports!$A:$A,Dashboard!$B$2,TeamLead_Reports!$D:$D,$B60))</x:f>
      </x:c>
    </x:row>
    <x:row r="61">
      <x:c r="A61" s="5">
        <x:f>Settings!E61</x:f>
        <x:v>0</x:v>
      </x:c>
      <x:c r="B61" s="5">
        <x:f>Settings!F61</x:f>
        <x:v>0</x:v>
      </x:c>
      <x:c r="C61" s="5">
        <x:f>Settings!G61</x:f>
        <x:v>0</x:v>
      </x:c>
      <x:c r="D61" s="5">
        <x:f>IF($A61="","",COUNTIFS(TeamLead_Reports!$A:$A,Dashboard!$B$2,TeamLead_Reports!$D:$D,$B61))</x:f>
      </x:c>
      <x:c r="E61" s="5">
        <x:f>IF($A61="","",IFERROR(LOOKUP(2,1/((TeamLead_Reports!$A:$A=Dashboard!$B$2)*(TeamLead_Reports!$D:$D=$B61)),TeamLead_Reports!$V:$V),""))</x:f>
      </x:c>
      <x:c r="F61" s="5">
        <x:f>IF($A61="","",SUMIFS(TeamLead_Reports!$G:$G,TeamLead_Reports!$A:$A,Dashboard!$B$2,TeamLead_Reports!$D:$D,$B61))</x:f>
      </x:c>
      <x:c r="G61" s="5">
        <x:f>IF($A61="","",SUMIFS(TeamLead_Reports!$H:$H,TeamLead_Reports!$A:$A,Dashboard!$B$2,TeamLead_Reports!$D:$D,$B61))</x:f>
      </x:c>
      <x:c r="H61" s="5">
        <x:f>IF($A61="","",SUMIFS(TeamLead_Reports!$I:$I,TeamLead_Reports!$A:$A,Dashboard!$B$2,TeamLead_Reports!$D:$D,$B61))</x:f>
      </x:c>
      <x:c r="I61" s="5">
        <x:f>IF($A61="","",SUMIFS(TeamLead_Reports!$J:$J,TeamLead_Reports!$A:$A,Dashboard!$B$2,TeamLead_Reports!$D:$D,$B61))</x:f>
      </x:c>
      <x:c r="J61" s="5">
        <x:f>IF($A61="","",SUMIFS(TeamLead_Reports!$K:$K,TeamLead_Reports!$A:$A,Dashboard!$B$2,TeamLead_Reports!$D:$D,$B61))</x:f>
      </x:c>
      <x:c r="K61" s="5">
        <x:f>IF($A61="","",SUMIFS(TeamLead_Reports!$L:$L,TeamLead_Reports!$A:$A,Dashboard!$B$2,TeamLead_Reports!$D:$D,$B61))</x:f>
      </x:c>
      <x:c r="L61" s="5">
        <x:f>IF($A61="","",SUMIFS(TeamLead_Reports!$M:$M,TeamLead_Reports!$A:$A,Dashboard!$B$2,TeamLead_Reports!$D:$D,$B61))</x:f>
      </x:c>
      <x:c r="M61" s="5">
        <x:f>IF($A61="","",SUMIFS(TeamLead_Reports!$N:$N,TeamLead_Reports!$A:$A,Dashboard!$B$2,TeamLead_Reports!$D:$D,$B61))</x:f>
      </x:c>
      <x:c r="N61" s="5">
        <x:f>IF($A61="","",SUMIFS(TeamLead_Reports!$O:$O,TeamLead_Reports!$A:$A,Dashboard!$B$2,TeamLead_Reports!$D:$D,$B61))</x:f>
      </x:c>
      <x:c r="O61" s="5">
        <x:f>IF($A61="","",SUMIFS(TeamLead_Reports!$P:$P,TeamLead_Reports!$A:$A,Dashboard!$B$2,TeamLead_Reports!$D:$D,$B61))</x:f>
      </x:c>
      <x:c r="P61" s="5">
        <x:f>IF($A61="","",SUMIFS(TeamLead_Reports!$Q:$Q,TeamLead_Reports!$A:$A,Dashboard!$B$2,TeamLead_Reports!$D:$D,$B61))</x:f>
      </x:c>
      <x:c r="Q61" s="5">
        <x:f>IF($A61="","",SUMIFS(TeamLead_Reports!$R:$R,TeamLead_Reports!$A:$A,Dashboard!$B$2,TeamLead_Reports!$D:$D,$B61))</x:f>
      </x:c>
      <x:c r="R61" s="5">
        <x:f>IF($A61="","",SUMIFS(TeamLead_Reports!$S:$S,TeamLead_Reports!$A:$A,Dashboard!$B$2,TeamLead_Reports!$D:$D,$B61))</x:f>
      </x:c>
    </x:row>
    <x:row r="62">
      <x:c r="A62" s="5">
        <x:f>Settings!E62</x:f>
        <x:v>0</x:v>
      </x:c>
      <x:c r="B62" s="5">
        <x:f>Settings!F62</x:f>
        <x:v>0</x:v>
      </x:c>
      <x:c r="C62" s="5">
        <x:f>Settings!G62</x:f>
        <x:v>0</x:v>
      </x:c>
      <x:c r="D62" s="5">
        <x:f>IF($A62="","",COUNTIFS(TeamLead_Reports!$A:$A,Dashboard!$B$2,TeamLead_Reports!$D:$D,$B62))</x:f>
      </x:c>
      <x:c r="E62" s="5">
        <x:f>IF($A62="","",IFERROR(LOOKUP(2,1/((TeamLead_Reports!$A:$A=Dashboard!$B$2)*(TeamLead_Reports!$D:$D=$B62)),TeamLead_Reports!$V:$V),""))</x:f>
      </x:c>
      <x:c r="F62" s="5">
        <x:f>IF($A62="","",SUMIFS(TeamLead_Reports!$G:$G,TeamLead_Reports!$A:$A,Dashboard!$B$2,TeamLead_Reports!$D:$D,$B62))</x:f>
      </x:c>
      <x:c r="G62" s="5">
        <x:f>IF($A62="","",SUMIFS(TeamLead_Reports!$H:$H,TeamLead_Reports!$A:$A,Dashboard!$B$2,TeamLead_Reports!$D:$D,$B62))</x:f>
      </x:c>
      <x:c r="H62" s="5">
        <x:f>IF($A62="","",SUMIFS(TeamLead_Reports!$I:$I,TeamLead_Reports!$A:$A,Dashboard!$B$2,TeamLead_Reports!$D:$D,$B62))</x:f>
      </x:c>
      <x:c r="I62" s="5">
        <x:f>IF($A62="","",SUMIFS(TeamLead_Reports!$J:$J,TeamLead_Reports!$A:$A,Dashboard!$B$2,TeamLead_Reports!$D:$D,$B62))</x:f>
      </x:c>
      <x:c r="J62" s="5">
        <x:f>IF($A62="","",SUMIFS(TeamLead_Reports!$K:$K,TeamLead_Reports!$A:$A,Dashboard!$B$2,TeamLead_Reports!$D:$D,$B62))</x:f>
      </x:c>
      <x:c r="K62" s="5">
        <x:f>IF($A62="","",SUMIFS(TeamLead_Reports!$L:$L,TeamLead_Reports!$A:$A,Dashboard!$B$2,TeamLead_Reports!$D:$D,$B62))</x:f>
      </x:c>
      <x:c r="L62" s="5">
        <x:f>IF($A62="","",SUMIFS(TeamLead_Reports!$M:$M,TeamLead_Reports!$A:$A,Dashboard!$B$2,TeamLead_Reports!$D:$D,$B62))</x:f>
      </x:c>
      <x:c r="M62" s="5">
        <x:f>IF($A62="","",SUMIFS(TeamLead_Reports!$N:$N,TeamLead_Reports!$A:$A,Dashboard!$B$2,TeamLead_Reports!$D:$D,$B62))</x:f>
      </x:c>
      <x:c r="N62" s="5">
        <x:f>IF($A62="","",SUMIFS(TeamLead_Reports!$O:$O,TeamLead_Reports!$A:$A,Dashboard!$B$2,TeamLead_Reports!$D:$D,$B62))</x:f>
      </x:c>
      <x:c r="O62" s="5">
        <x:f>IF($A62="","",SUMIFS(TeamLead_Reports!$P:$P,TeamLead_Reports!$A:$A,Dashboard!$B$2,TeamLead_Reports!$D:$D,$B62))</x:f>
      </x:c>
      <x:c r="P62" s="5">
        <x:f>IF($A62="","",SUMIFS(TeamLead_Reports!$Q:$Q,TeamLead_Reports!$A:$A,Dashboard!$B$2,TeamLead_Reports!$D:$D,$B62))</x:f>
      </x:c>
      <x:c r="Q62" s="5">
        <x:f>IF($A62="","",SUMIFS(TeamLead_Reports!$R:$R,TeamLead_Reports!$A:$A,Dashboard!$B$2,TeamLead_Reports!$D:$D,$B62))</x:f>
      </x:c>
      <x:c r="R62" s="5">
        <x:f>IF($A62="","",SUMIFS(TeamLead_Reports!$S:$S,TeamLead_Reports!$A:$A,Dashboard!$B$2,TeamLead_Reports!$D:$D,$B62))</x:f>
      </x:c>
    </x:row>
    <x:row r="63">
      <x:c r="A63" s="5">
        <x:f>Settings!E63</x:f>
        <x:v>0</x:v>
      </x:c>
      <x:c r="B63" s="5">
        <x:f>Settings!F63</x:f>
        <x:v>0</x:v>
      </x:c>
      <x:c r="C63" s="5">
        <x:f>Settings!G63</x:f>
        <x:v>0</x:v>
      </x:c>
      <x:c r="D63" s="5">
        <x:f>IF($A63="","",COUNTIFS(TeamLead_Reports!$A:$A,Dashboard!$B$2,TeamLead_Reports!$D:$D,$B63))</x:f>
      </x:c>
      <x:c r="E63" s="5">
        <x:f>IF($A63="","",IFERROR(LOOKUP(2,1/((TeamLead_Reports!$A:$A=Dashboard!$B$2)*(TeamLead_Reports!$D:$D=$B63)),TeamLead_Reports!$V:$V),""))</x:f>
      </x:c>
      <x:c r="F63" s="5">
        <x:f>IF($A63="","",SUMIFS(TeamLead_Reports!$G:$G,TeamLead_Reports!$A:$A,Dashboard!$B$2,TeamLead_Reports!$D:$D,$B63))</x:f>
      </x:c>
      <x:c r="G63" s="5">
        <x:f>IF($A63="","",SUMIFS(TeamLead_Reports!$H:$H,TeamLead_Reports!$A:$A,Dashboard!$B$2,TeamLead_Reports!$D:$D,$B63))</x:f>
      </x:c>
      <x:c r="H63" s="5">
        <x:f>IF($A63="","",SUMIFS(TeamLead_Reports!$I:$I,TeamLead_Reports!$A:$A,Dashboard!$B$2,TeamLead_Reports!$D:$D,$B63))</x:f>
      </x:c>
      <x:c r="I63" s="5">
        <x:f>IF($A63="","",SUMIFS(TeamLead_Reports!$J:$J,TeamLead_Reports!$A:$A,Dashboard!$B$2,TeamLead_Reports!$D:$D,$B63))</x:f>
      </x:c>
      <x:c r="J63" s="5">
        <x:f>IF($A63="","",SUMIFS(TeamLead_Reports!$K:$K,TeamLead_Reports!$A:$A,Dashboard!$B$2,TeamLead_Reports!$D:$D,$B63))</x:f>
      </x:c>
      <x:c r="K63" s="5">
        <x:f>IF($A63="","",SUMIFS(TeamLead_Reports!$L:$L,TeamLead_Reports!$A:$A,Dashboard!$B$2,TeamLead_Reports!$D:$D,$B63))</x:f>
      </x:c>
      <x:c r="L63" s="5">
        <x:f>IF($A63="","",SUMIFS(TeamLead_Reports!$M:$M,TeamLead_Reports!$A:$A,Dashboard!$B$2,TeamLead_Reports!$D:$D,$B63))</x:f>
      </x:c>
      <x:c r="M63" s="5">
        <x:f>IF($A63="","",SUMIFS(TeamLead_Reports!$N:$N,TeamLead_Reports!$A:$A,Dashboard!$B$2,TeamLead_Reports!$D:$D,$B63))</x:f>
      </x:c>
      <x:c r="N63" s="5">
        <x:f>IF($A63="","",SUMIFS(TeamLead_Reports!$O:$O,TeamLead_Reports!$A:$A,Dashboard!$B$2,TeamLead_Reports!$D:$D,$B63))</x:f>
      </x:c>
      <x:c r="O63" s="5">
        <x:f>IF($A63="","",SUMIFS(TeamLead_Reports!$P:$P,TeamLead_Reports!$A:$A,Dashboard!$B$2,TeamLead_Reports!$D:$D,$B63))</x:f>
      </x:c>
      <x:c r="P63" s="5">
        <x:f>IF($A63="","",SUMIFS(TeamLead_Reports!$Q:$Q,TeamLead_Reports!$A:$A,Dashboard!$B$2,TeamLead_Reports!$D:$D,$B63))</x:f>
      </x:c>
      <x:c r="Q63" s="5">
        <x:f>IF($A63="","",SUMIFS(TeamLead_Reports!$R:$R,TeamLead_Reports!$A:$A,Dashboard!$B$2,TeamLead_Reports!$D:$D,$B63))</x:f>
      </x:c>
      <x:c r="R63" s="5">
        <x:f>IF($A63="","",SUMIFS(TeamLead_Reports!$S:$S,TeamLead_Reports!$A:$A,Dashboard!$B$2,TeamLead_Reports!$D:$D,$B63))</x:f>
      </x:c>
    </x:row>
    <x:row r="64">
      <x:c r="A64" s="5">
        <x:f>Settings!E64</x:f>
        <x:v>0</x:v>
      </x:c>
      <x:c r="B64" s="5">
        <x:f>Settings!F64</x:f>
        <x:v>0</x:v>
      </x:c>
      <x:c r="C64" s="5">
        <x:f>Settings!G64</x:f>
        <x:v>0</x:v>
      </x:c>
      <x:c r="D64" s="5">
        <x:f>IF($A64="","",COUNTIFS(TeamLead_Reports!$A:$A,Dashboard!$B$2,TeamLead_Reports!$D:$D,$B64))</x:f>
      </x:c>
      <x:c r="E64" s="5">
        <x:f>IF($A64="","",IFERROR(LOOKUP(2,1/((TeamLead_Reports!$A:$A=Dashboard!$B$2)*(TeamLead_Reports!$D:$D=$B64)),TeamLead_Reports!$V:$V),""))</x:f>
      </x:c>
      <x:c r="F64" s="5">
        <x:f>IF($A64="","",SUMIFS(TeamLead_Reports!$G:$G,TeamLead_Reports!$A:$A,Dashboard!$B$2,TeamLead_Reports!$D:$D,$B64))</x:f>
      </x:c>
      <x:c r="G64" s="5">
        <x:f>IF($A64="","",SUMIFS(TeamLead_Reports!$H:$H,TeamLead_Reports!$A:$A,Dashboard!$B$2,TeamLead_Reports!$D:$D,$B64))</x:f>
      </x:c>
      <x:c r="H64" s="5">
        <x:f>IF($A64="","",SUMIFS(TeamLead_Reports!$I:$I,TeamLead_Reports!$A:$A,Dashboard!$B$2,TeamLead_Reports!$D:$D,$B64))</x:f>
      </x:c>
      <x:c r="I64" s="5">
        <x:f>IF($A64="","",SUMIFS(TeamLead_Reports!$J:$J,TeamLead_Reports!$A:$A,Dashboard!$B$2,TeamLead_Reports!$D:$D,$B64))</x:f>
      </x:c>
      <x:c r="J64" s="5">
        <x:f>IF($A64="","",SUMIFS(TeamLead_Reports!$K:$K,TeamLead_Reports!$A:$A,Dashboard!$B$2,TeamLead_Reports!$D:$D,$B64))</x:f>
      </x:c>
      <x:c r="K64" s="5">
        <x:f>IF($A64="","",SUMIFS(TeamLead_Reports!$L:$L,TeamLead_Reports!$A:$A,Dashboard!$B$2,TeamLead_Reports!$D:$D,$B64))</x:f>
      </x:c>
      <x:c r="L64" s="5">
        <x:f>IF($A64="","",SUMIFS(TeamLead_Reports!$M:$M,TeamLead_Reports!$A:$A,Dashboard!$B$2,TeamLead_Reports!$D:$D,$B64))</x:f>
      </x:c>
      <x:c r="M64" s="5">
        <x:f>IF($A64="","",SUMIFS(TeamLead_Reports!$N:$N,TeamLead_Reports!$A:$A,Dashboard!$B$2,TeamLead_Reports!$D:$D,$B64))</x:f>
      </x:c>
      <x:c r="N64" s="5">
        <x:f>IF($A64="","",SUMIFS(TeamLead_Reports!$O:$O,TeamLead_Reports!$A:$A,Dashboard!$B$2,TeamLead_Reports!$D:$D,$B64))</x:f>
      </x:c>
      <x:c r="O64" s="5">
        <x:f>IF($A64="","",SUMIFS(TeamLead_Reports!$P:$P,TeamLead_Reports!$A:$A,Dashboard!$B$2,TeamLead_Reports!$D:$D,$B64))</x:f>
      </x:c>
      <x:c r="P64" s="5">
        <x:f>IF($A64="","",SUMIFS(TeamLead_Reports!$Q:$Q,TeamLead_Reports!$A:$A,Dashboard!$B$2,TeamLead_Reports!$D:$D,$B64))</x:f>
      </x:c>
      <x:c r="Q64" s="5">
        <x:f>IF($A64="","",SUMIFS(TeamLead_Reports!$R:$R,TeamLead_Reports!$A:$A,Dashboard!$B$2,TeamLead_Reports!$D:$D,$B64))</x:f>
      </x:c>
      <x:c r="R64" s="5">
        <x:f>IF($A64="","",SUMIFS(TeamLead_Reports!$S:$S,TeamLead_Reports!$A:$A,Dashboard!$B$2,TeamLead_Reports!$D:$D,$B64))</x:f>
      </x:c>
    </x:row>
    <x:row r="65">
      <x:c r="A65" s="5">
        <x:f>Settings!E65</x:f>
        <x:v>0</x:v>
      </x:c>
      <x:c r="B65" s="5">
        <x:f>Settings!F65</x:f>
        <x:v>0</x:v>
      </x:c>
      <x:c r="C65" s="5">
        <x:f>Settings!G65</x:f>
        <x:v>0</x:v>
      </x:c>
      <x:c r="D65" s="5">
        <x:f>IF($A65="","",COUNTIFS(TeamLead_Reports!$A:$A,Dashboard!$B$2,TeamLead_Reports!$D:$D,$B65))</x:f>
      </x:c>
      <x:c r="E65" s="5">
        <x:f>IF($A65="","",IFERROR(LOOKUP(2,1/((TeamLead_Reports!$A:$A=Dashboard!$B$2)*(TeamLead_Reports!$D:$D=$B65)),TeamLead_Reports!$V:$V),""))</x:f>
      </x:c>
      <x:c r="F65" s="5">
        <x:f>IF($A65="","",SUMIFS(TeamLead_Reports!$G:$G,TeamLead_Reports!$A:$A,Dashboard!$B$2,TeamLead_Reports!$D:$D,$B65))</x:f>
      </x:c>
      <x:c r="G65" s="5">
        <x:f>IF($A65="","",SUMIFS(TeamLead_Reports!$H:$H,TeamLead_Reports!$A:$A,Dashboard!$B$2,TeamLead_Reports!$D:$D,$B65))</x:f>
      </x:c>
      <x:c r="H65" s="5">
        <x:f>IF($A65="","",SUMIFS(TeamLead_Reports!$I:$I,TeamLead_Reports!$A:$A,Dashboard!$B$2,TeamLead_Reports!$D:$D,$B65))</x:f>
      </x:c>
      <x:c r="I65" s="5">
        <x:f>IF($A65="","",SUMIFS(TeamLead_Reports!$J:$J,TeamLead_Reports!$A:$A,Dashboard!$B$2,TeamLead_Reports!$D:$D,$B65))</x:f>
      </x:c>
      <x:c r="J65" s="5">
        <x:f>IF($A65="","",SUMIFS(TeamLead_Reports!$K:$K,TeamLead_Reports!$A:$A,Dashboard!$B$2,TeamLead_Reports!$D:$D,$B65))</x:f>
      </x:c>
      <x:c r="K65" s="5">
        <x:f>IF($A65="","",SUMIFS(TeamLead_Reports!$L:$L,TeamLead_Reports!$A:$A,Dashboard!$B$2,TeamLead_Reports!$D:$D,$B65))</x:f>
      </x:c>
      <x:c r="L65" s="5">
        <x:f>IF($A65="","",SUMIFS(TeamLead_Reports!$M:$M,TeamLead_Reports!$A:$A,Dashboard!$B$2,TeamLead_Reports!$D:$D,$B65))</x:f>
      </x:c>
      <x:c r="M65" s="5">
        <x:f>IF($A65="","",SUMIFS(TeamLead_Reports!$N:$N,TeamLead_Reports!$A:$A,Dashboard!$B$2,TeamLead_Reports!$D:$D,$B65))</x:f>
      </x:c>
      <x:c r="N65" s="5">
        <x:f>IF($A65="","",SUMIFS(TeamLead_Reports!$O:$O,TeamLead_Reports!$A:$A,Dashboard!$B$2,TeamLead_Reports!$D:$D,$B65))</x:f>
      </x:c>
      <x:c r="O65" s="5">
        <x:f>IF($A65="","",SUMIFS(TeamLead_Reports!$P:$P,TeamLead_Reports!$A:$A,Dashboard!$B$2,TeamLead_Reports!$D:$D,$B65))</x:f>
      </x:c>
      <x:c r="P65" s="5">
        <x:f>IF($A65="","",SUMIFS(TeamLead_Reports!$Q:$Q,TeamLead_Reports!$A:$A,Dashboard!$B$2,TeamLead_Reports!$D:$D,$B65))</x:f>
      </x:c>
      <x:c r="Q65" s="5">
        <x:f>IF($A65="","",SUMIFS(TeamLead_Reports!$R:$R,TeamLead_Reports!$A:$A,Dashboard!$B$2,TeamLead_Reports!$D:$D,$B65))</x:f>
      </x:c>
      <x:c r="R65" s="5">
        <x:f>IF($A65="","",SUMIFS(TeamLead_Reports!$S:$S,TeamLead_Reports!$A:$A,Dashboard!$B$2,TeamLead_Reports!$D:$D,$B65))</x:f>
      </x:c>
    </x:row>
    <x:row r="66">
      <x:c r="A66" s="5">
        <x:f>Settings!E66</x:f>
        <x:v>0</x:v>
      </x:c>
      <x:c r="B66" s="5">
        <x:f>Settings!F66</x:f>
        <x:v>0</x:v>
      </x:c>
      <x:c r="C66" s="5">
        <x:f>Settings!G66</x:f>
        <x:v>0</x:v>
      </x:c>
      <x:c r="D66" s="5">
        <x:f>IF($A66="","",COUNTIFS(TeamLead_Reports!$A:$A,Dashboard!$B$2,TeamLead_Reports!$D:$D,$B66))</x:f>
      </x:c>
      <x:c r="E66" s="5">
        <x:f>IF($A66="","",IFERROR(LOOKUP(2,1/((TeamLead_Reports!$A:$A=Dashboard!$B$2)*(TeamLead_Reports!$D:$D=$B66)),TeamLead_Reports!$V:$V),""))</x:f>
      </x:c>
      <x:c r="F66" s="5">
        <x:f>IF($A66="","",SUMIFS(TeamLead_Reports!$G:$G,TeamLead_Reports!$A:$A,Dashboard!$B$2,TeamLead_Reports!$D:$D,$B66))</x:f>
      </x:c>
      <x:c r="G66" s="5">
        <x:f>IF($A66="","",SUMIFS(TeamLead_Reports!$H:$H,TeamLead_Reports!$A:$A,Dashboard!$B$2,TeamLead_Reports!$D:$D,$B66))</x:f>
      </x:c>
      <x:c r="H66" s="5">
        <x:f>IF($A66="","",SUMIFS(TeamLead_Reports!$I:$I,TeamLead_Reports!$A:$A,Dashboard!$B$2,TeamLead_Reports!$D:$D,$B66))</x:f>
      </x:c>
      <x:c r="I66" s="5">
        <x:f>IF($A66="","",SUMIFS(TeamLead_Reports!$J:$J,TeamLead_Reports!$A:$A,Dashboard!$B$2,TeamLead_Reports!$D:$D,$B66))</x:f>
      </x:c>
      <x:c r="J66" s="5">
        <x:f>IF($A66="","",SUMIFS(TeamLead_Reports!$K:$K,TeamLead_Reports!$A:$A,Dashboard!$B$2,TeamLead_Reports!$D:$D,$B66))</x:f>
      </x:c>
      <x:c r="K66" s="5">
        <x:f>IF($A66="","",SUMIFS(TeamLead_Reports!$L:$L,TeamLead_Reports!$A:$A,Dashboard!$B$2,TeamLead_Reports!$D:$D,$B66))</x:f>
      </x:c>
      <x:c r="L66" s="5">
        <x:f>IF($A66="","",SUMIFS(TeamLead_Reports!$M:$M,TeamLead_Reports!$A:$A,Dashboard!$B$2,TeamLead_Reports!$D:$D,$B66))</x:f>
      </x:c>
      <x:c r="M66" s="5">
        <x:f>IF($A66="","",SUMIFS(TeamLead_Reports!$N:$N,TeamLead_Reports!$A:$A,Dashboard!$B$2,TeamLead_Reports!$D:$D,$B66))</x:f>
      </x:c>
      <x:c r="N66" s="5">
        <x:f>IF($A66="","",SUMIFS(TeamLead_Reports!$O:$O,TeamLead_Reports!$A:$A,Dashboard!$B$2,TeamLead_Reports!$D:$D,$B66))</x:f>
      </x:c>
      <x:c r="O66" s="5">
        <x:f>IF($A66="","",SUMIFS(TeamLead_Reports!$P:$P,TeamLead_Reports!$A:$A,Dashboard!$B$2,TeamLead_Reports!$D:$D,$B66))</x:f>
      </x:c>
      <x:c r="P66" s="5">
        <x:f>IF($A66="","",SUMIFS(TeamLead_Reports!$Q:$Q,TeamLead_Reports!$A:$A,Dashboard!$B$2,TeamLead_Reports!$D:$D,$B66))</x:f>
      </x:c>
      <x:c r="Q66" s="5">
        <x:f>IF($A66="","",SUMIFS(TeamLead_Reports!$R:$R,TeamLead_Reports!$A:$A,Dashboard!$B$2,TeamLead_Reports!$D:$D,$B66))</x:f>
      </x:c>
      <x:c r="R66" s="5">
        <x:f>IF($A66="","",SUMIFS(TeamLead_Reports!$S:$S,TeamLead_Reports!$A:$A,Dashboard!$B$2,TeamLead_Reports!$D:$D,$B66))</x:f>
      </x:c>
    </x:row>
    <x:row r="67">
      <x:c r="A67" s="5">
        <x:f>Settings!E67</x:f>
        <x:v>0</x:v>
      </x:c>
      <x:c r="B67" s="5">
        <x:f>Settings!F67</x:f>
        <x:v>0</x:v>
      </x:c>
      <x:c r="C67" s="5">
        <x:f>Settings!G67</x:f>
        <x:v>0</x:v>
      </x:c>
      <x:c r="D67" s="5">
        <x:f>IF($A67="","",COUNTIFS(TeamLead_Reports!$A:$A,Dashboard!$B$2,TeamLead_Reports!$D:$D,$B67))</x:f>
      </x:c>
      <x:c r="E67" s="5">
        <x:f>IF($A67="","",IFERROR(LOOKUP(2,1/((TeamLead_Reports!$A:$A=Dashboard!$B$2)*(TeamLead_Reports!$D:$D=$B67)),TeamLead_Reports!$V:$V),""))</x:f>
      </x:c>
      <x:c r="F67" s="5">
        <x:f>IF($A67="","",SUMIFS(TeamLead_Reports!$G:$G,TeamLead_Reports!$A:$A,Dashboard!$B$2,TeamLead_Reports!$D:$D,$B67))</x:f>
      </x:c>
      <x:c r="G67" s="5">
        <x:f>IF($A67="","",SUMIFS(TeamLead_Reports!$H:$H,TeamLead_Reports!$A:$A,Dashboard!$B$2,TeamLead_Reports!$D:$D,$B67))</x:f>
      </x:c>
      <x:c r="H67" s="5">
        <x:f>IF($A67="","",SUMIFS(TeamLead_Reports!$I:$I,TeamLead_Reports!$A:$A,Dashboard!$B$2,TeamLead_Reports!$D:$D,$B67))</x:f>
      </x:c>
      <x:c r="I67" s="5">
        <x:f>IF($A67="","",SUMIFS(TeamLead_Reports!$J:$J,TeamLead_Reports!$A:$A,Dashboard!$B$2,TeamLead_Reports!$D:$D,$B67))</x:f>
      </x:c>
      <x:c r="J67" s="5">
        <x:f>IF($A67="","",SUMIFS(TeamLead_Reports!$K:$K,TeamLead_Reports!$A:$A,Dashboard!$B$2,TeamLead_Reports!$D:$D,$B67))</x:f>
      </x:c>
      <x:c r="K67" s="5">
        <x:f>IF($A67="","",SUMIFS(TeamLead_Reports!$L:$L,TeamLead_Reports!$A:$A,Dashboard!$B$2,TeamLead_Reports!$D:$D,$B67))</x:f>
      </x:c>
      <x:c r="L67" s="5">
        <x:f>IF($A67="","",SUMIFS(TeamLead_Reports!$M:$M,TeamLead_Reports!$A:$A,Dashboard!$B$2,TeamLead_Reports!$D:$D,$B67))</x:f>
      </x:c>
      <x:c r="M67" s="5">
        <x:f>IF($A67="","",SUMIFS(TeamLead_Reports!$N:$N,TeamLead_Reports!$A:$A,Dashboard!$B$2,TeamLead_Reports!$D:$D,$B67))</x:f>
      </x:c>
      <x:c r="N67" s="5">
        <x:f>IF($A67="","",SUMIFS(TeamLead_Reports!$O:$O,TeamLead_Reports!$A:$A,Dashboard!$B$2,TeamLead_Reports!$D:$D,$B67))</x:f>
      </x:c>
      <x:c r="O67" s="5">
        <x:f>IF($A67="","",SUMIFS(TeamLead_Reports!$P:$P,TeamLead_Reports!$A:$A,Dashboard!$B$2,TeamLead_Reports!$D:$D,$B67))</x:f>
      </x:c>
      <x:c r="P67" s="5">
        <x:f>IF($A67="","",SUMIFS(TeamLead_Reports!$Q:$Q,TeamLead_Reports!$A:$A,Dashboard!$B$2,TeamLead_Reports!$D:$D,$B67))</x:f>
      </x:c>
      <x:c r="Q67" s="5">
        <x:f>IF($A67="","",SUMIFS(TeamLead_Reports!$R:$R,TeamLead_Reports!$A:$A,Dashboard!$B$2,TeamLead_Reports!$D:$D,$B67))</x:f>
      </x:c>
      <x:c r="R67" s="5">
        <x:f>IF($A67="","",SUMIFS(TeamLead_Reports!$S:$S,TeamLead_Reports!$A:$A,Dashboard!$B$2,TeamLead_Reports!$D:$D,$B67))</x:f>
      </x:c>
    </x:row>
    <x:row r="68">
      <x:c r="A68" s="5">
        <x:f>Settings!E68</x:f>
        <x:v>0</x:v>
      </x:c>
      <x:c r="B68" s="5">
        <x:f>Settings!F68</x:f>
        <x:v>0</x:v>
      </x:c>
      <x:c r="C68" s="5">
        <x:f>Settings!G68</x:f>
        <x:v>0</x:v>
      </x:c>
      <x:c r="D68" s="5">
        <x:f>IF($A68="","",COUNTIFS(TeamLead_Reports!$A:$A,Dashboard!$B$2,TeamLead_Reports!$D:$D,$B68))</x:f>
      </x:c>
      <x:c r="E68" s="5">
        <x:f>IF($A68="","",IFERROR(LOOKUP(2,1/((TeamLead_Reports!$A:$A=Dashboard!$B$2)*(TeamLead_Reports!$D:$D=$B68)),TeamLead_Reports!$V:$V),""))</x:f>
      </x:c>
      <x:c r="F68" s="5">
        <x:f>IF($A68="","",SUMIFS(TeamLead_Reports!$G:$G,TeamLead_Reports!$A:$A,Dashboard!$B$2,TeamLead_Reports!$D:$D,$B68))</x:f>
      </x:c>
      <x:c r="G68" s="5">
        <x:f>IF($A68="","",SUMIFS(TeamLead_Reports!$H:$H,TeamLead_Reports!$A:$A,Dashboard!$B$2,TeamLead_Reports!$D:$D,$B68))</x:f>
      </x:c>
      <x:c r="H68" s="5">
        <x:f>IF($A68="","",SUMIFS(TeamLead_Reports!$I:$I,TeamLead_Reports!$A:$A,Dashboard!$B$2,TeamLead_Reports!$D:$D,$B68))</x:f>
      </x:c>
      <x:c r="I68" s="5">
        <x:f>IF($A68="","",SUMIFS(TeamLead_Reports!$J:$J,TeamLead_Reports!$A:$A,Dashboard!$B$2,TeamLead_Reports!$D:$D,$B68))</x:f>
      </x:c>
      <x:c r="J68" s="5">
        <x:f>IF($A68="","",SUMIFS(TeamLead_Reports!$K:$K,TeamLead_Reports!$A:$A,Dashboard!$B$2,TeamLead_Reports!$D:$D,$B68))</x:f>
      </x:c>
      <x:c r="K68" s="5">
        <x:f>IF($A68="","",SUMIFS(TeamLead_Reports!$L:$L,TeamLead_Reports!$A:$A,Dashboard!$B$2,TeamLead_Reports!$D:$D,$B68))</x:f>
      </x:c>
      <x:c r="L68" s="5">
        <x:f>IF($A68="","",SUMIFS(TeamLead_Reports!$M:$M,TeamLead_Reports!$A:$A,Dashboard!$B$2,TeamLead_Reports!$D:$D,$B68))</x:f>
      </x:c>
      <x:c r="M68" s="5">
        <x:f>IF($A68="","",SUMIFS(TeamLead_Reports!$N:$N,TeamLead_Reports!$A:$A,Dashboard!$B$2,TeamLead_Reports!$D:$D,$B68))</x:f>
      </x:c>
      <x:c r="N68" s="5">
        <x:f>IF($A68="","",SUMIFS(TeamLead_Reports!$O:$O,TeamLead_Reports!$A:$A,Dashboard!$B$2,TeamLead_Reports!$D:$D,$B68))</x:f>
      </x:c>
      <x:c r="O68" s="5">
        <x:f>IF($A68="","",SUMIFS(TeamLead_Reports!$P:$P,TeamLead_Reports!$A:$A,Dashboard!$B$2,TeamLead_Reports!$D:$D,$B68))</x:f>
      </x:c>
      <x:c r="P68" s="5">
        <x:f>IF($A68="","",SUMIFS(TeamLead_Reports!$Q:$Q,TeamLead_Reports!$A:$A,Dashboard!$B$2,TeamLead_Reports!$D:$D,$B68))</x:f>
      </x:c>
      <x:c r="Q68" s="5">
        <x:f>IF($A68="","",SUMIFS(TeamLead_Reports!$R:$R,TeamLead_Reports!$A:$A,Dashboard!$B$2,TeamLead_Reports!$D:$D,$B68))</x:f>
      </x:c>
      <x:c r="R68" s="5">
        <x:f>IF($A68="","",SUMIFS(TeamLead_Reports!$S:$S,TeamLead_Reports!$A:$A,Dashboard!$B$2,TeamLead_Reports!$D:$D,$B68))</x:f>
      </x:c>
    </x:row>
    <x:row r="69">
      <x:c r="A69" s="5">
        <x:f>Settings!E69</x:f>
        <x:v>0</x:v>
      </x:c>
      <x:c r="B69" s="5">
        <x:f>Settings!F69</x:f>
        <x:v>0</x:v>
      </x:c>
      <x:c r="C69" s="5">
        <x:f>Settings!G69</x:f>
        <x:v>0</x:v>
      </x:c>
      <x:c r="D69" s="5">
        <x:f>IF($A69="","",COUNTIFS(TeamLead_Reports!$A:$A,Dashboard!$B$2,TeamLead_Reports!$D:$D,$B69))</x:f>
      </x:c>
      <x:c r="E69" s="5">
        <x:f>IF($A69="","",IFERROR(LOOKUP(2,1/((TeamLead_Reports!$A:$A=Dashboard!$B$2)*(TeamLead_Reports!$D:$D=$B69)),TeamLead_Reports!$V:$V),""))</x:f>
      </x:c>
      <x:c r="F69" s="5">
        <x:f>IF($A69="","",SUMIFS(TeamLead_Reports!$G:$G,TeamLead_Reports!$A:$A,Dashboard!$B$2,TeamLead_Reports!$D:$D,$B69))</x:f>
      </x:c>
      <x:c r="G69" s="5">
        <x:f>IF($A69="","",SUMIFS(TeamLead_Reports!$H:$H,TeamLead_Reports!$A:$A,Dashboard!$B$2,TeamLead_Reports!$D:$D,$B69))</x:f>
      </x:c>
      <x:c r="H69" s="5">
        <x:f>IF($A69="","",SUMIFS(TeamLead_Reports!$I:$I,TeamLead_Reports!$A:$A,Dashboard!$B$2,TeamLead_Reports!$D:$D,$B69))</x:f>
      </x:c>
      <x:c r="I69" s="5">
        <x:f>IF($A69="","",SUMIFS(TeamLead_Reports!$J:$J,TeamLead_Reports!$A:$A,Dashboard!$B$2,TeamLead_Reports!$D:$D,$B69))</x:f>
      </x:c>
      <x:c r="J69" s="5">
        <x:f>IF($A69="","",SUMIFS(TeamLead_Reports!$K:$K,TeamLead_Reports!$A:$A,Dashboard!$B$2,TeamLead_Reports!$D:$D,$B69))</x:f>
      </x:c>
      <x:c r="K69" s="5">
        <x:f>IF($A69="","",SUMIFS(TeamLead_Reports!$L:$L,TeamLead_Reports!$A:$A,Dashboard!$B$2,TeamLead_Reports!$D:$D,$B69))</x:f>
      </x:c>
      <x:c r="L69" s="5">
        <x:f>IF($A69="","",SUMIFS(TeamLead_Reports!$M:$M,TeamLead_Reports!$A:$A,Dashboard!$B$2,TeamLead_Reports!$D:$D,$B69))</x:f>
      </x:c>
      <x:c r="M69" s="5">
        <x:f>IF($A69="","",SUMIFS(TeamLead_Reports!$N:$N,TeamLead_Reports!$A:$A,Dashboard!$B$2,TeamLead_Reports!$D:$D,$B69))</x:f>
      </x:c>
      <x:c r="N69" s="5">
        <x:f>IF($A69="","",SUMIFS(TeamLead_Reports!$O:$O,TeamLead_Reports!$A:$A,Dashboard!$B$2,TeamLead_Reports!$D:$D,$B69))</x:f>
      </x:c>
      <x:c r="O69" s="5">
        <x:f>IF($A69="","",SUMIFS(TeamLead_Reports!$P:$P,TeamLead_Reports!$A:$A,Dashboard!$B$2,TeamLead_Reports!$D:$D,$B69))</x:f>
      </x:c>
      <x:c r="P69" s="5">
        <x:f>IF($A69="","",SUMIFS(TeamLead_Reports!$Q:$Q,TeamLead_Reports!$A:$A,Dashboard!$B$2,TeamLead_Reports!$D:$D,$B69))</x:f>
      </x:c>
      <x:c r="Q69" s="5">
        <x:f>IF($A69="","",SUMIFS(TeamLead_Reports!$R:$R,TeamLead_Reports!$A:$A,Dashboard!$B$2,TeamLead_Reports!$D:$D,$B69))</x:f>
      </x:c>
      <x:c r="R69" s="5">
        <x:f>IF($A69="","",SUMIFS(TeamLead_Reports!$S:$S,TeamLead_Reports!$A:$A,Dashboard!$B$2,TeamLead_Reports!$D:$D,$B69))</x:f>
      </x:c>
    </x:row>
    <x:row r="70">
      <x:c r="A70" s="5">
        <x:f>Settings!E70</x:f>
        <x:v>0</x:v>
      </x:c>
      <x:c r="B70" s="5">
        <x:f>Settings!F70</x:f>
        <x:v>0</x:v>
      </x:c>
      <x:c r="C70" s="5">
        <x:f>Settings!G70</x:f>
        <x:v>0</x:v>
      </x:c>
      <x:c r="D70" s="5">
        <x:f>IF($A70="","",COUNTIFS(TeamLead_Reports!$A:$A,Dashboard!$B$2,TeamLead_Reports!$D:$D,$B70))</x:f>
      </x:c>
      <x:c r="E70" s="5">
        <x:f>IF($A70="","",IFERROR(LOOKUP(2,1/((TeamLead_Reports!$A:$A=Dashboard!$B$2)*(TeamLead_Reports!$D:$D=$B70)),TeamLead_Reports!$V:$V),""))</x:f>
      </x:c>
      <x:c r="F70" s="5">
        <x:f>IF($A70="","",SUMIFS(TeamLead_Reports!$G:$G,TeamLead_Reports!$A:$A,Dashboard!$B$2,TeamLead_Reports!$D:$D,$B70))</x:f>
      </x:c>
      <x:c r="G70" s="5">
        <x:f>IF($A70="","",SUMIFS(TeamLead_Reports!$H:$H,TeamLead_Reports!$A:$A,Dashboard!$B$2,TeamLead_Reports!$D:$D,$B70))</x:f>
      </x:c>
      <x:c r="H70" s="5">
        <x:f>IF($A70="","",SUMIFS(TeamLead_Reports!$I:$I,TeamLead_Reports!$A:$A,Dashboard!$B$2,TeamLead_Reports!$D:$D,$B70))</x:f>
      </x:c>
      <x:c r="I70" s="5">
        <x:f>IF($A70="","",SUMIFS(TeamLead_Reports!$J:$J,TeamLead_Reports!$A:$A,Dashboard!$B$2,TeamLead_Reports!$D:$D,$B70))</x:f>
      </x:c>
      <x:c r="J70" s="5">
        <x:f>IF($A70="","",SUMIFS(TeamLead_Reports!$K:$K,TeamLead_Reports!$A:$A,Dashboard!$B$2,TeamLead_Reports!$D:$D,$B70))</x:f>
      </x:c>
      <x:c r="K70" s="5">
        <x:f>IF($A70="","",SUMIFS(TeamLead_Reports!$L:$L,TeamLead_Reports!$A:$A,Dashboard!$B$2,TeamLead_Reports!$D:$D,$B70))</x:f>
      </x:c>
      <x:c r="L70" s="5">
        <x:f>IF($A70="","",SUMIFS(TeamLead_Reports!$M:$M,TeamLead_Reports!$A:$A,Dashboard!$B$2,TeamLead_Reports!$D:$D,$B70))</x:f>
      </x:c>
      <x:c r="M70" s="5">
        <x:f>IF($A70="","",SUMIFS(TeamLead_Reports!$N:$N,TeamLead_Reports!$A:$A,Dashboard!$B$2,TeamLead_Reports!$D:$D,$B70))</x:f>
      </x:c>
      <x:c r="N70" s="5">
        <x:f>IF($A70="","",SUMIFS(TeamLead_Reports!$O:$O,TeamLead_Reports!$A:$A,Dashboard!$B$2,TeamLead_Reports!$D:$D,$B70))</x:f>
      </x:c>
      <x:c r="O70" s="5">
        <x:f>IF($A70="","",SUMIFS(TeamLead_Reports!$P:$P,TeamLead_Reports!$A:$A,Dashboard!$B$2,TeamLead_Reports!$D:$D,$B70))</x:f>
      </x:c>
      <x:c r="P70" s="5">
        <x:f>IF($A70="","",SUMIFS(TeamLead_Reports!$Q:$Q,TeamLead_Reports!$A:$A,Dashboard!$B$2,TeamLead_Reports!$D:$D,$B70))</x:f>
      </x:c>
      <x:c r="Q70" s="5">
        <x:f>IF($A70="","",SUMIFS(TeamLead_Reports!$R:$R,TeamLead_Reports!$A:$A,Dashboard!$B$2,TeamLead_Reports!$D:$D,$B70))</x:f>
      </x:c>
      <x:c r="R70" s="5">
        <x:f>IF($A70="","",SUMIFS(TeamLead_Reports!$S:$S,TeamLead_Reports!$A:$A,Dashboard!$B$2,TeamLead_Reports!$D:$D,$B70))</x:f>
      </x:c>
    </x:row>
    <x:row r="71">
      <x:c r="A71" s="5">
        <x:f>Settings!E71</x:f>
        <x:v>0</x:v>
      </x:c>
      <x:c r="B71" s="5">
        <x:f>Settings!F71</x:f>
        <x:v>0</x:v>
      </x:c>
      <x:c r="C71" s="5">
        <x:f>Settings!G71</x:f>
        <x:v>0</x:v>
      </x:c>
      <x:c r="D71" s="5">
        <x:f>IF($A71="","",COUNTIFS(TeamLead_Reports!$A:$A,Dashboard!$B$2,TeamLead_Reports!$D:$D,$B71))</x:f>
      </x:c>
      <x:c r="E71" s="5">
        <x:f>IF($A71="","",IFERROR(LOOKUP(2,1/((TeamLead_Reports!$A:$A=Dashboard!$B$2)*(TeamLead_Reports!$D:$D=$B71)),TeamLead_Reports!$V:$V),""))</x:f>
      </x:c>
      <x:c r="F71" s="5">
        <x:f>IF($A71="","",SUMIFS(TeamLead_Reports!$G:$G,TeamLead_Reports!$A:$A,Dashboard!$B$2,TeamLead_Reports!$D:$D,$B71))</x:f>
      </x:c>
      <x:c r="G71" s="5">
        <x:f>IF($A71="","",SUMIFS(TeamLead_Reports!$H:$H,TeamLead_Reports!$A:$A,Dashboard!$B$2,TeamLead_Reports!$D:$D,$B71))</x:f>
      </x:c>
      <x:c r="H71" s="5">
        <x:f>IF($A71="","",SUMIFS(TeamLead_Reports!$I:$I,TeamLead_Reports!$A:$A,Dashboard!$B$2,TeamLead_Reports!$D:$D,$B71))</x:f>
      </x:c>
      <x:c r="I71" s="5">
        <x:f>IF($A71="","",SUMIFS(TeamLead_Reports!$J:$J,TeamLead_Reports!$A:$A,Dashboard!$B$2,TeamLead_Reports!$D:$D,$B71))</x:f>
      </x:c>
      <x:c r="J71" s="5">
        <x:f>IF($A71="","",SUMIFS(TeamLead_Reports!$K:$K,TeamLead_Reports!$A:$A,Dashboard!$B$2,TeamLead_Reports!$D:$D,$B71))</x:f>
      </x:c>
      <x:c r="K71" s="5">
        <x:f>IF($A71="","",SUMIFS(TeamLead_Reports!$L:$L,TeamLead_Reports!$A:$A,Dashboard!$B$2,TeamLead_Reports!$D:$D,$B71))</x:f>
      </x:c>
      <x:c r="L71" s="5">
        <x:f>IF($A71="","",SUMIFS(TeamLead_Reports!$M:$M,TeamLead_Reports!$A:$A,Dashboard!$B$2,TeamLead_Reports!$D:$D,$B71))</x:f>
      </x:c>
      <x:c r="M71" s="5">
        <x:f>IF($A71="","",SUMIFS(TeamLead_Reports!$N:$N,TeamLead_Reports!$A:$A,Dashboard!$B$2,TeamLead_Reports!$D:$D,$B71))</x:f>
      </x:c>
      <x:c r="N71" s="5">
        <x:f>IF($A71="","",SUMIFS(TeamLead_Reports!$O:$O,TeamLead_Reports!$A:$A,Dashboard!$B$2,TeamLead_Reports!$D:$D,$B71))</x:f>
      </x:c>
      <x:c r="O71" s="5">
        <x:f>IF($A71="","",SUMIFS(TeamLead_Reports!$P:$P,TeamLead_Reports!$A:$A,Dashboard!$B$2,TeamLead_Reports!$D:$D,$B71))</x:f>
      </x:c>
      <x:c r="P71" s="5">
        <x:f>IF($A71="","",SUMIFS(TeamLead_Reports!$Q:$Q,TeamLead_Reports!$A:$A,Dashboard!$B$2,TeamLead_Reports!$D:$D,$B71))</x:f>
      </x:c>
      <x:c r="Q71" s="5">
        <x:f>IF($A71="","",SUMIFS(TeamLead_Reports!$R:$R,TeamLead_Reports!$A:$A,Dashboard!$B$2,TeamLead_Reports!$D:$D,$B71))</x:f>
      </x:c>
      <x:c r="R71" s="5">
        <x:f>IF($A71="","",SUMIFS(TeamLead_Reports!$S:$S,TeamLead_Reports!$A:$A,Dashboard!$B$2,TeamLead_Reports!$D:$D,$B71))</x:f>
      </x:c>
    </x:row>
    <x:row r="72">
      <x:c r="A72" s="5">
        <x:f>Settings!E72</x:f>
        <x:v>0</x:v>
      </x:c>
      <x:c r="B72" s="5">
        <x:f>Settings!F72</x:f>
        <x:v>0</x:v>
      </x:c>
      <x:c r="C72" s="5">
        <x:f>Settings!G72</x:f>
        <x:v>0</x:v>
      </x:c>
      <x:c r="D72" s="5">
        <x:f>IF($A72="","",COUNTIFS(TeamLead_Reports!$A:$A,Dashboard!$B$2,TeamLead_Reports!$D:$D,$B72))</x:f>
      </x:c>
      <x:c r="E72" s="5">
        <x:f>IF($A72="","",IFERROR(LOOKUP(2,1/((TeamLead_Reports!$A:$A=Dashboard!$B$2)*(TeamLead_Reports!$D:$D=$B72)),TeamLead_Reports!$V:$V),""))</x:f>
      </x:c>
      <x:c r="F72" s="5">
        <x:f>IF($A72="","",SUMIFS(TeamLead_Reports!$G:$G,TeamLead_Reports!$A:$A,Dashboard!$B$2,TeamLead_Reports!$D:$D,$B72))</x:f>
      </x:c>
      <x:c r="G72" s="5">
        <x:f>IF($A72="","",SUMIFS(TeamLead_Reports!$H:$H,TeamLead_Reports!$A:$A,Dashboard!$B$2,TeamLead_Reports!$D:$D,$B72))</x:f>
      </x:c>
      <x:c r="H72" s="5">
        <x:f>IF($A72="","",SUMIFS(TeamLead_Reports!$I:$I,TeamLead_Reports!$A:$A,Dashboard!$B$2,TeamLead_Reports!$D:$D,$B72))</x:f>
      </x:c>
      <x:c r="I72" s="5">
        <x:f>IF($A72="","",SUMIFS(TeamLead_Reports!$J:$J,TeamLead_Reports!$A:$A,Dashboard!$B$2,TeamLead_Reports!$D:$D,$B72))</x:f>
      </x:c>
      <x:c r="J72" s="5">
        <x:f>IF($A72="","",SUMIFS(TeamLead_Reports!$K:$K,TeamLead_Reports!$A:$A,Dashboard!$B$2,TeamLead_Reports!$D:$D,$B72))</x:f>
      </x:c>
      <x:c r="K72" s="5">
        <x:f>IF($A72="","",SUMIFS(TeamLead_Reports!$L:$L,TeamLead_Reports!$A:$A,Dashboard!$B$2,TeamLead_Reports!$D:$D,$B72))</x:f>
      </x:c>
      <x:c r="L72" s="5">
        <x:f>IF($A72="","",SUMIFS(TeamLead_Reports!$M:$M,TeamLead_Reports!$A:$A,Dashboard!$B$2,TeamLead_Reports!$D:$D,$B72))</x:f>
      </x:c>
      <x:c r="M72" s="5">
        <x:f>IF($A72="","",SUMIFS(TeamLead_Reports!$N:$N,TeamLead_Reports!$A:$A,Dashboard!$B$2,TeamLead_Reports!$D:$D,$B72))</x:f>
      </x:c>
      <x:c r="N72" s="5">
        <x:f>IF($A72="","",SUMIFS(TeamLead_Reports!$O:$O,TeamLead_Reports!$A:$A,Dashboard!$B$2,TeamLead_Reports!$D:$D,$B72))</x:f>
      </x:c>
      <x:c r="O72" s="5">
        <x:f>IF($A72="","",SUMIFS(TeamLead_Reports!$P:$P,TeamLead_Reports!$A:$A,Dashboard!$B$2,TeamLead_Reports!$D:$D,$B72))</x:f>
      </x:c>
      <x:c r="P72" s="5">
        <x:f>IF($A72="","",SUMIFS(TeamLead_Reports!$Q:$Q,TeamLead_Reports!$A:$A,Dashboard!$B$2,TeamLead_Reports!$D:$D,$B72))</x:f>
      </x:c>
      <x:c r="Q72" s="5">
        <x:f>IF($A72="","",SUMIFS(TeamLead_Reports!$R:$R,TeamLead_Reports!$A:$A,Dashboard!$B$2,TeamLead_Reports!$D:$D,$B72))</x:f>
      </x:c>
      <x:c r="R72" s="5">
        <x:f>IF($A72="","",SUMIFS(TeamLead_Reports!$S:$S,TeamLead_Reports!$A:$A,Dashboard!$B$2,TeamLead_Reports!$D:$D,$B72))</x:f>
      </x:c>
    </x:row>
    <x:row r="73">
      <x:c r="A73" s="5">
        <x:f>Settings!E73</x:f>
        <x:v>0</x:v>
      </x:c>
      <x:c r="B73" s="5">
        <x:f>Settings!F73</x:f>
        <x:v>0</x:v>
      </x:c>
      <x:c r="C73" s="5">
        <x:f>Settings!G73</x:f>
        <x:v>0</x:v>
      </x:c>
      <x:c r="D73" s="5">
        <x:f>IF($A73="","",COUNTIFS(TeamLead_Reports!$A:$A,Dashboard!$B$2,TeamLead_Reports!$D:$D,$B73))</x:f>
      </x:c>
      <x:c r="E73" s="5">
        <x:f>IF($A73="","",IFERROR(LOOKUP(2,1/((TeamLead_Reports!$A:$A=Dashboard!$B$2)*(TeamLead_Reports!$D:$D=$B73)),TeamLead_Reports!$V:$V),""))</x:f>
      </x:c>
      <x:c r="F73" s="5">
        <x:f>IF($A73="","",SUMIFS(TeamLead_Reports!$G:$G,TeamLead_Reports!$A:$A,Dashboard!$B$2,TeamLead_Reports!$D:$D,$B73))</x:f>
      </x:c>
      <x:c r="G73" s="5">
        <x:f>IF($A73="","",SUMIFS(TeamLead_Reports!$H:$H,TeamLead_Reports!$A:$A,Dashboard!$B$2,TeamLead_Reports!$D:$D,$B73))</x:f>
      </x:c>
      <x:c r="H73" s="5">
        <x:f>IF($A73="","",SUMIFS(TeamLead_Reports!$I:$I,TeamLead_Reports!$A:$A,Dashboard!$B$2,TeamLead_Reports!$D:$D,$B73))</x:f>
      </x:c>
      <x:c r="I73" s="5">
        <x:f>IF($A73="","",SUMIFS(TeamLead_Reports!$J:$J,TeamLead_Reports!$A:$A,Dashboard!$B$2,TeamLead_Reports!$D:$D,$B73))</x:f>
      </x:c>
      <x:c r="J73" s="5">
        <x:f>IF($A73="","",SUMIFS(TeamLead_Reports!$K:$K,TeamLead_Reports!$A:$A,Dashboard!$B$2,TeamLead_Reports!$D:$D,$B73))</x:f>
      </x:c>
      <x:c r="K73" s="5">
        <x:f>IF($A73="","",SUMIFS(TeamLead_Reports!$L:$L,TeamLead_Reports!$A:$A,Dashboard!$B$2,TeamLead_Reports!$D:$D,$B73))</x:f>
      </x:c>
      <x:c r="L73" s="5">
        <x:f>IF($A73="","",SUMIFS(TeamLead_Reports!$M:$M,TeamLead_Reports!$A:$A,Dashboard!$B$2,TeamLead_Reports!$D:$D,$B73))</x:f>
      </x:c>
      <x:c r="M73" s="5">
        <x:f>IF($A73="","",SUMIFS(TeamLead_Reports!$N:$N,TeamLead_Reports!$A:$A,Dashboard!$B$2,TeamLead_Reports!$D:$D,$B73))</x:f>
      </x:c>
      <x:c r="N73" s="5">
        <x:f>IF($A73="","",SUMIFS(TeamLead_Reports!$O:$O,TeamLead_Reports!$A:$A,Dashboard!$B$2,TeamLead_Reports!$D:$D,$B73))</x:f>
      </x:c>
      <x:c r="O73" s="5">
        <x:f>IF($A73="","",SUMIFS(TeamLead_Reports!$P:$P,TeamLead_Reports!$A:$A,Dashboard!$B$2,TeamLead_Reports!$D:$D,$B73))</x:f>
      </x:c>
      <x:c r="P73" s="5">
        <x:f>IF($A73="","",SUMIFS(TeamLead_Reports!$Q:$Q,TeamLead_Reports!$A:$A,Dashboard!$B$2,TeamLead_Reports!$D:$D,$B73))</x:f>
      </x:c>
      <x:c r="Q73" s="5">
        <x:f>IF($A73="","",SUMIFS(TeamLead_Reports!$R:$R,TeamLead_Reports!$A:$A,Dashboard!$B$2,TeamLead_Reports!$D:$D,$B73))</x:f>
      </x:c>
      <x:c r="R73" s="5">
        <x:f>IF($A73="","",SUMIFS(TeamLead_Reports!$S:$S,TeamLead_Reports!$A:$A,Dashboard!$B$2,TeamLead_Reports!$D:$D,$B73))</x:f>
      </x:c>
    </x:row>
    <x:row r="74">
      <x:c r="A74" s="5">
        <x:f>Settings!E74</x:f>
        <x:v>0</x:v>
      </x:c>
      <x:c r="B74" s="5">
        <x:f>Settings!F74</x:f>
        <x:v>0</x:v>
      </x:c>
      <x:c r="C74" s="5">
        <x:f>Settings!G74</x:f>
        <x:v>0</x:v>
      </x:c>
      <x:c r="D74" s="5">
        <x:f>IF($A74="","",COUNTIFS(TeamLead_Reports!$A:$A,Dashboard!$B$2,TeamLead_Reports!$D:$D,$B74))</x:f>
      </x:c>
      <x:c r="E74" s="5">
        <x:f>IF($A74="","",IFERROR(LOOKUP(2,1/((TeamLead_Reports!$A:$A=Dashboard!$B$2)*(TeamLead_Reports!$D:$D=$B74)),TeamLead_Reports!$V:$V),""))</x:f>
      </x:c>
      <x:c r="F74" s="5">
        <x:f>IF($A74="","",SUMIFS(TeamLead_Reports!$G:$G,TeamLead_Reports!$A:$A,Dashboard!$B$2,TeamLead_Reports!$D:$D,$B74))</x:f>
      </x:c>
      <x:c r="G74" s="5">
        <x:f>IF($A74="","",SUMIFS(TeamLead_Reports!$H:$H,TeamLead_Reports!$A:$A,Dashboard!$B$2,TeamLead_Reports!$D:$D,$B74))</x:f>
      </x:c>
      <x:c r="H74" s="5">
        <x:f>IF($A74="","",SUMIFS(TeamLead_Reports!$I:$I,TeamLead_Reports!$A:$A,Dashboard!$B$2,TeamLead_Reports!$D:$D,$B74))</x:f>
      </x:c>
      <x:c r="I74" s="5">
        <x:f>IF($A74="","",SUMIFS(TeamLead_Reports!$J:$J,TeamLead_Reports!$A:$A,Dashboard!$B$2,TeamLead_Reports!$D:$D,$B74))</x:f>
      </x:c>
      <x:c r="J74" s="5">
        <x:f>IF($A74="","",SUMIFS(TeamLead_Reports!$K:$K,TeamLead_Reports!$A:$A,Dashboard!$B$2,TeamLead_Reports!$D:$D,$B74))</x:f>
      </x:c>
      <x:c r="K74" s="5">
        <x:f>IF($A74="","",SUMIFS(TeamLead_Reports!$L:$L,TeamLead_Reports!$A:$A,Dashboard!$B$2,TeamLead_Reports!$D:$D,$B74))</x:f>
      </x:c>
      <x:c r="L74" s="5">
        <x:f>IF($A74="","",SUMIFS(TeamLead_Reports!$M:$M,TeamLead_Reports!$A:$A,Dashboard!$B$2,TeamLead_Reports!$D:$D,$B74))</x:f>
      </x:c>
      <x:c r="M74" s="5">
        <x:f>IF($A74="","",SUMIFS(TeamLead_Reports!$N:$N,TeamLead_Reports!$A:$A,Dashboard!$B$2,TeamLead_Reports!$D:$D,$B74))</x:f>
      </x:c>
      <x:c r="N74" s="5">
        <x:f>IF($A74="","",SUMIFS(TeamLead_Reports!$O:$O,TeamLead_Reports!$A:$A,Dashboard!$B$2,TeamLead_Reports!$D:$D,$B74))</x:f>
      </x:c>
      <x:c r="O74" s="5">
        <x:f>IF($A74="","",SUMIFS(TeamLead_Reports!$P:$P,TeamLead_Reports!$A:$A,Dashboard!$B$2,TeamLead_Reports!$D:$D,$B74))</x:f>
      </x:c>
      <x:c r="P74" s="5">
        <x:f>IF($A74="","",SUMIFS(TeamLead_Reports!$Q:$Q,TeamLead_Reports!$A:$A,Dashboard!$B$2,TeamLead_Reports!$D:$D,$B74))</x:f>
      </x:c>
      <x:c r="Q74" s="5">
        <x:f>IF($A74="","",SUMIFS(TeamLead_Reports!$R:$R,TeamLead_Reports!$A:$A,Dashboard!$B$2,TeamLead_Reports!$D:$D,$B74))</x:f>
      </x:c>
      <x:c r="R74" s="5">
        <x:f>IF($A74="","",SUMIFS(TeamLead_Reports!$S:$S,TeamLead_Reports!$A:$A,Dashboard!$B$2,TeamLead_Reports!$D:$D,$B74))</x:f>
      </x:c>
    </x:row>
    <x:row r="75">
      <x:c r="A75" s="5">
        <x:f>Settings!E75</x:f>
        <x:v>0</x:v>
      </x:c>
      <x:c r="B75" s="5">
        <x:f>Settings!F75</x:f>
        <x:v>0</x:v>
      </x:c>
      <x:c r="C75" s="5">
        <x:f>Settings!G75</x:f>
        <x:v>0</x:v>
      </x:c>
      <x:c r="D75" s="5">
        <x:f>IF($A75="","",COUNTIFS(TeamLead_Reports!$A:$A,Dashboard!$B$2,TeamLead_Reports!$D:$D,$B75))</x:f>
      </x:c>
      <x:c r="E75" s="5">
        <x:f>IF($A75="","",IFERROR(LOOKUP(2,1/((TeamLead_Reports!$A:$A=Dashboard!$B$2)*(TeamLead_Reports!$D:$D=$B75)),TeamLead_Reports!$V:$V),""))</x:f>
      </x:c>
      <x:c r="F75" s="5">
        <x:f>IF($A75="","",SUMIFS(TeamLead_Reports!$G:$G,TeamLead_Reports!$A:$A,Dashboard!$B$2,TeamLead_Reports!$D:$D,$B75))</x:f>
      </x:c>
      <x:c r="G75" s="5">
        <x:f>IF($A75="","",SUMIFS(TeamLead_Reports!$H:$H,TeamLead_Reports!$A:$A,Dashboard!$B$2,TeamLead_Reports!$D:$D,$B75))</x:f>
      </x:c>
      <x:c r="H75" s="5">
        <x:f>IF($A75="","",SUMIFS(TeamLead_Reports!$I:$I,TeamLead_Reports!$A:$A,Dashboard!$B$2,TeamLead_Reports!$D:$D,$B75))</x:f>
      </x:c>
      <x:c r="I75" s="5">
        <x:f>IF($A75="","",SUMIFS(TeamLead_Reports!$J:$J,TeamLead_Reports!$A:$A,Dashboard!$B$2,TeamLead_Reports!$D:$D,$B75))</x:f>
      </x:c>
      <x:c r="J75" s="5">
        <x:f>IF($A75="","",SUMIFS(TeamLead_Reports!$K:$K,TeamLead_Reports!$A:$A,Dashboard!$B$2,TeamLead_Reports!$D:$D,$B75))</x:f>
      </x:c>
      <x:c r="K75" s="5">
        <x:f>IF($A75="","",SUMIFS(TeamLead_Reports!$L:$L,TeamLead_Reports!$A:$A,Dashboard!$B$2,TeamLead_Reports!$D:$D,$B75))</x:f>
      </x:c>
      <x:c r="L75" s="5">
        <x:f>IF($A75="","",SUMIFS(TeamLead_Reports!$M:$M,TeamLead_Reports!$A:$A,Dashboard!$B$2,TeamLead_Reports!$D:$D,$B75))</x:f>
      </x:c>
      <x:c r="M75" s="5">
        <x:f>IF($A75="","",SUMIFS(TeamLead_Reports!$N:$N,TeamLead_Reports!$A:$A,Dashboard!$B$2,TeamLead_Reports!$D:$D,$B75))</x:f>
      </x:c>
      <x:c r="N75" s="5">
        <x:f>IF($A75="","",SUMIFS(TeamLead_Reports!$O:$O,TeamLead_Reports!$A:$A,Dashboard!$B$2,TeamLead_Reports!$D:$D,$B75))</x:f>
      </x:c>
      <x:c r="O75" s="5">
        <x:f>IF($A75="","",SUMIFS(TeamLead_Reports!$P:$P,TeamLead_Reports!$A:$A,Dashboard!$B$2,TeamLead_Reports!$D:$D,$B75))</x:f>
      </x:c>
      <x:c r="P75" s="5">
        <x:f>IF($A75="","",SUMIFS(TeamLead_Reports!$Q:$Q,TeamLead_Reports!$A:$A,Dashboard!$B$2,TeamLead_Reports!$D:$D,$B75))</x:f>
      </x:c>
      <x:c r="Q75" s="5">
        <x:f>IF($A75="","",SUMIFS(TeamLead_Reports!$R:$R,TeamLead_Reports!$A:$A,Dashboard!$B$2,TeamLead_Reports!$D:$D,$B75))</x:f>
      </x:c>
      <x:c r="R75" s="5">
        <x:f>IF($A75="","",SUMIFS(TeamLead_Reports!$S:$S,TeamLead_Reports!$A:$A,Dashboard!$B$2,TeamLead_Reports!$D:$D,$B75))</x:f>
      </x:c>
    </x:row>
    <x:row r="76">
      <x:c r="A76" s="5">
        <x:f>Settings!E76</x:f>
        <x:v>0</x:v>
      </x:c>
      <x:c r="B76" s="5">
        <x:f>Settings!F76</x:f>
        <x:v>0</x:v>
      </x:c>
      <x:c r="C76" s="5">
        <x:f>Settings!G76</x:f>
        <x:v>0</x:v>
      </x:c>
      <x:c r="D76" s="5">
        <x:f>IF($A76="","",COUNTIFS(TeamLead_Reports!$A:$A,Dashboard!$B$2,TeamLead_Reports!$D:$D,$B76))</x:f>
      </x:c>
      <x:c r="E76" s="5">
        <x:f>IF($A76="","",IFERROR(LOOKUP(2,1/((TeamLead_Reports!$A:$A=Dashboard!$B$2)*(TeamLead_Reports!$D:$D=$B76)),TeamLead_Reports!$V:$V),""))</x:f>
      </x:c>
      <x:c r="F76" s="5">
        <x:f>IF($A76="","",SUMIFS(TeamLead_Reports!$G:$G,TeamLead_Reports!$A:$A,Dashboard!$B$2,TeamLead_Reports!$D:$D,$B76))</x:f>
      </x:c>
      <x:c r="G76" s="5">
        <x:f>IF($A76="","",SUMIFS(TeamLead_Reports!$H:$H,TeamLead_Reports!$A:$A,Dashboard!$B$2,TeamLead_Reports!$D:$D,$B76))</x:f>
      </x:c>
      <x:c r="H76" s="5">
        <x:f>IF($A76="","",SUMIFS(TeamLead_Reports!$I:$I,TeamLead_Reports!$A:$A,Dashboard!$B$2,TeamLead_Reports!$D:$D,$B76))</x:f>
      </x:c>
      <x:c r="I76" s="5">
        <x:f>IF($A76="","",SUMIFS(TeamLead_Reports!$J:$J,TeamLead_Reports!$A:$A,Dashboard!$B$2,TeamLead_Reports!$D:$D,$B76))</x:f>
      </x:c>
      <x:c r="J76" s="5">
        <x:f>IF($A76="","",SUMIFS(TeamLead_Reports!$K:$K,TeamLead_Reports!$A:$A,Dashboard!$B$2,TeamLead_Reports!$D:$D,$B76))</x:f>
      </x:c>
      <x:c r="K76" s="5">
        <x:f>IF($A76="","",SUMIFS(TeamLead_Reports!$L:$L,TeamLead_Reports!$A:$A,Dashboard!$B$2,TeamLead_Reports!$D:$D,$B76))</x:f>
      </x:c>
      <x:c r="L76" s="5">
        <x:f>IF($A76="","",SUMIFS(TeamLead_Reports!$M:$M,TeamLead_Reports!$A:$A,Dashboard!$B$2,TeamLead_Reports!$D:$D,$B76))</x:f>
      </x:c>
      <x:c r="M76" s="5">
        <x:f>IF($A76="","",SUMIFS(TeamLead_Reports!$N:$N,TeamLead_Reports!$A:$A,Dashboard!$B$2,TeamLead_Reports!$D:$D,$B76))</x:f>
      </x:c>
      <x:c r="N76" s="5">
        <x:f>IF($A76="","",SUMIFS(TeamLead_Reports!$O:$O,TeamLead_Reports!$A:$A,Dashboard!$B$2,TeamLead_Reports!$D:$D,$B76))</x:f>
      </x:c>
      <x:c r="O76" s="5">
        <x:f>IF($A76="","",SUMIFS(TeamLead_Reports!$P:$P,TeamLead_Reports!$A:$A,Dashboard!$B$2,TeamLead_Reports!$D:$D,$B76))</x:f>
      </x:c>
      <x:c r="P76" s="5">
        <x:f>IF($A76="","",SUMIFS(TeamLead_Reports!$Q:$Q,TeamLead_Reports!$A:$A,Dashboard!$B$2,TeamLead_Reports!$D:$D,$B76))</x:f>
      </x:c>
      <x:c r="Q76" s="5">
        <x:f>IF($A76="","",SUMIFS(TeamLead_Reports!$R:$R,TeamLead_Reports!$A:$A,Dashboard!$B$2,TeamLead_Reports!$D:$D,$B76))</x:f>
      </x:c>
      <x:c r="R76" s="5">
        <x:f>IF($A76="","",SUMIFS(TeamLead_Reports!$S:$S,TeamLead_Reports!$A:$A,Dashboard!$B$2,TeamLead_Reports!$D:$D,$B76))</x:f>
      </x:c>
    </x:row>
    <x:row r="77">
      <x:c r="A77" s="5">
        <x:f>Settings!E77</x:f>
        <x:v>0</x:v>
      </x:c>
      <x:c r="B77" s="5">
        <x:f>Settings!F77</x:f>
        <x:v>0</x:v>
      </x:c>
      <x:c r="C77" s="5">
        <x:f>Settings!G77</x:f>
        <x:v>0</x:v>
      </x:c>
      <x:c r="D77" s="5">
        <x:f>IF($A77="","",COUNTIFS(TeamLead_Reports!$A:$A,Dashboard!$B$2,TeamLead_Reports!$D:$D,$B77))</x:f>
      </x:c>
      <x:c r="E77" s="5">
        <x:f>IF($A77="","",IFERROR(LOOKUP(2,1/((TeamLead_Reports!$A:$A=Dashboard!$B$2)*(TeamLead_Reports!$D:$D=$B77)),TeamLead_Reports!$V:$V),""))</x:f>
      </x:c>
      <x:c r="F77" s="5">
        <x:f>IF($A77="","",SUMIFS(TeamLead_Reports!$G:$G,TeamLead_Reports!$A:$A,Dashboard!$B$2,TeamLead_Reports!$D:$D,$B77))</x:f>
      </x:c>
      <x:c r="G77" s="5">
        <x:f>IF($A77="","",SUMIFS(TeamLead_Reports!$H:$H,TeamLead_Reports!$A:$A,Dashboard!$B$2,TeamLead_Reports!$D:$D,$B77))</x:f>
      </x:c>
      <x:c r="H77" s="5">
        <x:f>IF($A77="","",SUMIFS(TeamLead_Reports!$I:$I,TeamLead_Reports!$A:$A,Dashboard!$B$2,TeamLead_Reports!$D:$D,$B77))</x:f>
      </x:c>
      <x:c r="I77" s="5">
        <x:f>IF($A77="","",SUMIFS(TeamLead_Reports!$J:$J,TeamLead_Reports!$A:$A,Dashboard!$B$2,TeamLead_Reports!$D:$D,$B77))</x:f>
      </x:c>
      <x:c r="J77" s="5">
        <x:f>IF($A77="","",SUMIFS(TeamLead_Reports!$K:$K,TeamLead_Reports!$A:$A,Dashboard!$B$2,TeamLead_Reports!$D:$D,$B77))</x:f>
      </x:c>
      <x:c r="K77" s="5">
        <x:f>IF($A77="","",SUMIFS(TeamLead_Reports!$L:$L,TeamLead_Reports!$A:$A,Dashboard!$B$2,TeamLead_Reports!$D:$D,$B77))</x:f>
      </x:c>
      <x:c r="L77" s="5">
        <x:f>IF($A77="","",SUMIFS(TeamLead_Reports!$M:$M,TeamLead_Reports!$A:$A,Dashboard!$B$2,TeamLead_Reports!$D:$D,$B77))</x:f>
      </x:c>
      <x:c r="M77" s="5">
        <x:f>IF($A77="","",SUMIFS(TeamLead_Reports!$N:$N,TeamLead_Reports!$A:$A,Dashboard!$B$2,TeamLead_Reports!$D:$D,$B77))</x:f>
      </x:c>
      <x:c r="N77" s="5">
        <x:f>IF($A77="","",SUMIFS(TeamLead_Reports!$O:$O,TeamLead_Reports!$A:$A,Dashboard!$B$2,TeamLead_Reports!$D:$D,$B77))</x:f>
      </x:c>
      <x:c r="O77" s="5">
        <x:f>IF($A77="","",SUMIFS(TeamLead_Reports!$P:$P,TeamLead_Reports!$A:$A,Dashboard!$B$2,TeamLead_Reports!$D:$D,$B77))</x:f>
      </x:c>
      <x:c r="P77" s="5">
        <x:f>IF($A77="","",SUMIFS(TeamLead_Reports!$Q:$Q,TeamLead_Reports!$A:$A,Dashboard!$B$2,TeamLead_Reports!$D:$D,$B77))</x:f>
      </x:c>
      <x:c r="Q77" s="5">
        <x:f>IF($A77="","",SUMIFS(TeamLead_Reports!$R:$R,TeamLead_Reports!$A:$A,Dashboard!$B$2,TeamLead_Reports!$D:$D,$B77))</x:f>
      </x:c>
      <x:c r="R77" s="5">
        <x:f>IF($A77="","",SUMIFS(TeamLead_Reports!$S:$S,TeamLead_Reports!$A:$A,Dashboard!$B$2,TeamLead_Reports!$D:$D,$B77))</x:f>
      </x:c>
    </x:row>
    <x:row r="78">
      <x:c r="A78" s="5">
        <x:f>Settings!E78</x:f>
        <x:v>0</x:v>
      </x:c>
      <x:c r="B78" s="5">
        <x:f>Settings!F78</x:f>
        <x:v>0</x:v>
      </x:c>
      <x:c r="C78" s="5">
        <x:f>Settings!G78</x:f>
        <x:v>0</x:v>
      </x:c>
      <x:c r="D78" s="5">
        <x:f>IF($A78="","",COUNTIFS(TeamLead_Reports!$A:$A,Dashboard!$B$2,TeamLead_Reports!$D:$D,$B78))</x:f>
      </x:c>
      <x:c r="E78" s="5">
        <x:f>IF($A78="","",IFERROR(LOOKUP(2,1/((TeamLead_Reports!$A:$A=Dashboard!$B$2)*(TeamLead_Reports!$D:$D=$B78)),TeamLead_Reports!$V:$V),""))</x:f>
      </x:c>
      <x:c r="F78" s="5">
        <x:f>IF($A78="","",SUMIFS(TeamLead_Reports!$G:$G,TeamLead_Reports!$A:$A,Dashboard!$B$2,TeamLead_Reports!$D:$D,$B78))</x:f>
      </x:c>
      <x:c r="G78" s="5">
        <x:f>IF($A78="","",SUMIFS(TeamLead_Reports!$H:$H,TeamLead_Reports!$A:$A,Dashboard!$B$2,TeamLead_Reports!$D:$D,$B78))</x:f>
      </x:c>
      <x:c r="H78" s="5">
        <x:f>IF($A78="","",SUMIFS(TeamLead_Reports!$I:$I,TeamLead_Reports!$A:$A,Dashboard!$B$2,TeamLead_Reports!$D:$D,$B78))</x:f>
      </x:c>
      <x:c r="I78" s="5">
        <x:f>IF($A78="","",SUMIFS(TeamLead_Reports!$J:$J,TeamLead_Reports!$A:$A,Dashboard!$B$2,TeamLead_Reports!$D:$D,$B78))</x:f>
      </x:c>
      <x:c r="J78" s="5">
        <x:f>IF($A78="","",SUMIFS(TeamLead_Reports!$K:$K,TeamLead_Reports!$A:$A,Dashboard!$B$2,TeamLead_Reports!$D:$D,$B78))</x:f>
      </x:c>
      <x:c r="K78" s="5">
        <x:f>IF($A78="","",SUMIFS(TeamLead_Reports!$L:$L,TeamLead_Reports!$A:$A,Dashboard!$B$2,TeamLead_Reports!$D:$D,$B78))</x:f>
      </x:c>
      <x:c r="L78" s="5">
        <x:f>IF($A78="","",SUMIFS(TeamLead_Reports!$M:$M,TeamLead_Reports!$A:$A,Dashboard!$B$2,TeamLead_Reports!$D:$D,$B78))</x:f>
      </x:c>
      <x:c r="M78" s="5">
        <x:f>IF($A78="","",SUMIFS(TeamLead_Reports!$N:$N,TeamLead_Reports!$A:$A,Dashboard!$B$2,TeamLead_Reports!$D:$D,$B78))</x:f>
      </x:c>
      <x:c r="N78" s="5">
        <x:f>IF($A78="","",SUMIFS(TeamLead_Reports!$O:$O,TeamLead_Reports!$A:$A,Dashboard!$B$2,TeamLead_Reports!$D:$D,$B78))</x:f>
      </x:c>
      <x:c r="O78" s="5">
        <x:f>IF($A78="","",SUMIFS(TeamLead_Reports!$P:$P,TeamLead_Reports!$A:$A,Dashboard!$B$2,TeamLead_Reports!$D:$D,$B78))</x:f>
      </x:c>
      <x:c r="P78" s="5">
        <x:f>IF($A78="","",SUMIFS(TeamLead_Reports!$Q:$Q,TeamLead_Reports!$A:$A,Dashboard!$B$2,TeamLead_Reports!$D:$D,$B78))</x:f>
      </x:c>
      <x:c r="Q78" s="5">
        <x:f>IF($A78="","",SUMIFS(TeamLead_Reports!$R:$R,TeamLead_Reports!$A:$A,Dashboard!$B$2,TeamLead_Reports!$D:$D,$B78))</x:f>
      </x:c>
      <x:c r="R78" s="5">
        <x:f>IF($A78="","",SUMIFS(TeamLead_Reports!$S:$S,TeamLead_Reports!$A:$A,Dashboard!$B$2,TeamLead_Reports!$D:$D,$B78))</x:f>
      </x:c>
    </x:row>
    <x:row r="79">
      <x:c r="A79" s="5">
        <x:f>Settings!E79</x:f>
        <x:v>0</x:v>
      </x:c>
      <x:c r="B79" s="5">
        <x:f>Settings!F79</x:f>
        <x:v>0</x:v>
      </x:c>
      <x:c r="C79" s="5">
        <x:f>Settings!G79</x:f>
        <x:v>0</x:v>
      </x:c>
      <x:c r="D79" s="5">
        <x:f>IF($A79="","",COUNTIFS(TeamLead_Reports!$A:$A,Dashboard!$B$2,TeamLead_Reports!$D:$D,$B79))</x:f>
      </x:c>
      <x:c r="E79" s="5">
        <x:f>IF($A79="","",IFERROR(LOOKUP(2,1/((TeamLead_Reports!$A:$A=Dashboard!$B$2)*(TeamLead_Reports!$D:$D=$B79)),TeamLead_Reports!$V:$V),""))</x:f>
      </x:c>
      <x:c r="F79" s="5">
        <x:f>IF($A79="","",SUMIFS(TeamLead_Reports!$G:$G,TeamLead_Reports!$A:$A,Dashboard!$B$2,TeamLead_Reports!$D:$D,$B79))</x:f>
      </x:c>
      <x:c r="G79" s="5">
        <x:f>IF($A79="","",SUMIFS(TeamLead_Reports!$H:$H,TeamLead_Reports!$A:$A,Dashboard!$B$2,TeamLead_Reports!$D:$D,$B79))</x:f>
      </x:c>
      <x:c r="H79" s="5">
        <x:f>IF($A79="","",SUMIFS(TeamLead_Reports!$I:$I,TeamLead_Reports!$A:$A,Dashboard!$B$2,TeamLead_Reports!$D:$D,$B79))</x:f>
      </x:c>
      <x:c r="I79" s="5">
        <x:f>IF($A79="","",SUMIFS(TeamLead_Reports!$J:$J,TeamLead_Reports!$A:$A,Dashboard!$B$2,TeamLead_Reports!$D:$D,$B79))</x:f>
      </x:c>
      <x:c r="J79" s="5">
        <x:f>IF($A79="","",SUMIFS(TeamLead_Reports!$K:$K,TeamLead_Reports!$A:$A,Dashboard!$B$2,TeamLead_Reports!$D:$D,$B79))</x:f>
      </x:c>
      <x:c r="K79" s="5">
        <x:f>IF($A79="","",SUMIFS(TeamLead_Reports!$L:$L,TeamLead_Reports!$A:$A,Dashboard!$B$2,TeamLead_Reports!$D:$D,$B79))</x:f>
      </x:c>
      <x:c r="L79" s="5">
        <x:f>IF($A79="","",SUMIFS(TeamLead_Reports!$M:$M,TeamLead_Reports!$A:$A,Dashboard!$B$2,TeamLead_Reports!$D:$D,$B79))</x:f>
      </x:c>
      <x:c r="M79" s="5">
        <x:f>IF($A79="","",SUMIFS(TeamLead_Reports!$N:$N,TeamLead_Reports!$A:$A,Dashboard!$B$2,TeamLead_Reports!$D:$D,$B79))</x:f>
      </x:c>
      <x:c r="N79" s="5">
        <x:f>IF($A79="","",SUMIFS(TeamLead_Reports!$O:$O,TeamLead_Reports!$A:$A,Dashboard!$B$2,TeamLead_Reports!$D:$D,$B79))</x:f>
      </x:c>
      <x:c r="O79" s="5">
        <x:f>IF($A79="","",SUMIFS(TeamLead_Reports!$P:$P,TeamLead_Reports!$A:$A,Dashboard!$B$2,TeamLead_Reports!$D:$D,$B79))</x:f>
      </x:c>
      <x:c r="P79" s="5">
        <x:f>IF($A79="","",SUMIFS(TeamLead_Reports!$Q:$Q,TeamLead_Reports!$A:$A,Dashboard!$B$2,TeamLead_Reports!$D:$D,$B79))</x:f>
      </x:c>
      <x:c r="Q79" s="5">
        <x:f>IF($A79="","",SUMIFS(TeamLead_Reports!$R:$R,TeamLead_Reports!$A:$A,Dashboard!$B$2,TeamLead_Reports!$D:$D,$B79))</x:f>
      </x:c>
      <x:c r="R79" s="5">
        <x:f>IF($A79="","",SUMIFS(TeamLead_Reports!$S:$S,TeamLead_Reports!$A:$A,Dashboard!$B$2,TeamLead_Reports!$D:$D,$B79))</x:f>
      </x:c>
    </x:row>
    <x:row r="80">
      <x:c r="A80" s="5">
        <x:f>Settings!E80</x:f>
        <x:v>0</x:v>
      </x:c>
      <x:c r="B80" s="5">
        <x:f>Settings!F80</x:f>
        <x:v>0</x:v>
      </x:c>
      <x:c r="C80" s="5">
        <x:f>Settings!G80</x:f>
        <x:v>0</x:v>
      </x:c>
      <x:c r="D80" s="5">
        <x:f>IF($A80="","",COUNTIFS(TeamLead_Reports!$A:$A,Dashboard!$B$2,TeamLead_Reports!$D:$D,$B80))</x:f>
      </x:c>
      <x:c r="E80" s="5">
        <x:f>IF($A80="","",IFERROR(LOOKUP(2,1/((TeamLead_Reports!$A:$A=Dashboard!$B$2)*(TeamLead_Reports!$D:$D=$B80)),TeamLead_Reports!$V:$V),""))</x:f>
      </x:c>
      <x:c r="F80" s="5">
        <x:f>IF($A80="","",SUMIFS(TeamLead_Reports!$G:$G,TeamLead_Reports!$A:$A,Dashboard!$B$2,TeamLead_Reports!$D:$D,$B80))</x:f>
      </x:c>
      <x:c r="G80" s="5">
        <x:f>IF($A80="","",SUMIFS(TeamLead_Reports!$H:$H,TeamLead_Reports!$A:$A,Dashboard!$B$2,TeamLead_Reports!$D:$D,$B80))</x:f>
      </x:c>
      <x:c r="H80" s="5">
        <x:f>IF($A80="","",SUMIFS(TeamLead_Reports!$I:$I,TeamLead_Reports!$A:$A,Dashboard!$B$2,TeamLead_Reports!$D:$D,$B80))</x:f>
      </x:c>
      <x:c r="I80" s="5">
        <x:f>IF($A80="","",SUMIFS(TeamLead_Reports!$J:$J,TeamLead_Reports!$A:$A,Dashboard!$B$2,TeamLead_Reports!$D:$D,$B80))</x:f>
      </x:c>
      <x:c r="J80" s="5">
        <x:f>IF($A80="","",SUMIFS(TeamLead_Reports!$K:$K,TeamLead_Reports!$A:$A,Dashboard!$B$2,TeamLead_Reports!$D:$D,$B80))</x:f>
      </x:c>
      <x:c r="K80" s="5">
        <x:f>IF($A80="","",SUMIFS(TeamLead_Reports!$L:$L,TeamLead_Reports!$A:$A,Dashboard!$B$2,TeamLead_Reports!$D:$D,$B80))</x:f>
      </x:c>
      <x:c r="L80" s="5">
        <x:f>IF($A80="","",SUMIFS(TeamLead_Reports!$M:$M,TeamLead_Reports!$A:$A,Dashboard!$B$2,TeamLead_Reports!$D:$D,$B80))</x:f>
      </x:c>
      <x:c r="M80" s="5">
        <x:f>IF($A80="","",SUMIFS(TeamLead_Reports!$N:$N,TeamLead_Reports!$A:$A,Dashboard!$B$2,TeamLead_Reports!$D:$D,$B80))</x:f>
      </x:c>
      <x:c r="N80" s="5">
        <x:f>IF($A80="","",SUMIFS(TeamLead_Reports!$O:$O,TeamLead_Reports!$A:$A,Dashboard!$B$2,TeamLead_Reports!$D:$D,$B80))</x:f>
      </x:c>
      <x:c r="O80" s="5">
        <x:f>IF($A80="","",SUMIFS(TeamLead_Reports!$P:$P,TeamLead_Reports!$A:$A,Dashboard!$B$2,TeamLead_Reports!$D:$D,$B80))</x:f>
      </x:c>
      <x:c r="P80" s="5">
        <x:f>IF($A80="","",SUMIFS(TeamLead_Reports!$Q:$Q,TeamLead_Reports!$A:$A,Dashboard!$B$2,TeamLead_Reports!$D:$D,$B80))</x:f>
      </x:c>
      <x:c r="Q80" s="5">
        <x:f>IF($A80="","",SUMIFS(TeamLead_Reports!$R:$R,TeamLead_Reports!$A:$A,Dashboard!$B$2,TeamLead_Reports!$D:$D,$B80))</x:f>
      </x:c>
      <x:c r="R80" s="5">
        <x:f>IF($A80="","",SUMIFS(TeamLead_Reports!$S:$S,TeamLead_Reports!$A:$A,Dashboard!$B$2,TeamLead_Reports!$D:$D,$B80))</x:f>
      </x:c>
    </x:row>
    <x:row r="81">
      <x:c r="A81" s="5">
        <x:f>Settings!E81</x:f>
        <x:v>0</x:v>
      </x:c>
      <x:c r="B81" s="5">
        <x:f>Settings!F81</x:f>
        <x:v>0</x:v>
      </x:c>
      <x:c r="C81" s="5">
        <x:f>Settings!G81</x:f>
        <x:v>0</x:v>
      </x:c>
      <x:c r="D81" s="5">
        <x:f>IF($A81="","",COUNTIFS(TeamLead_Reports!$A:$A,Dashboard!$B$2,TeamLead_Reports!$D:$D,$B81))</x:f>
      </x:c>
      <x:c r="E81" s="5">
        <x:f>IF($A81="","",IFERROR(LOOKUP(2,1/((TeamLead_Reports!$A:$A=Dashboard!$B$2)*(TeamLead_Reports!$D:$D=$B81)),TeamLead_Reports!$V:$V),""))</x:f>
      </x:c>
      <x:c r="F81" s="5">
        <x:f>IF($A81="","",SUMIFS(TeamLead_Reports!$G:$G,TeamLead_Reports!$A:$A,Dashboard!$B$2,TeamLead_Reports!$D:$D,$B81))</x:f>
      </x:c>
      <x:c r="G81" s="5">
        <x:f>IF($A81="","",SUMIFS(TeamLead_Reports!$H:$H,TeamLead_Reports!$A:$A,Dashboard!$B$2,TeamLead_Reports!$D:$D,$B81))</x:f>
      </x:c>
      <x:c r="H81" s="5">
        <x:f>IF($A81="","",SUMIFS(TeamLead_Reports!$I:$I,TeamLead_Reports!$A:$A,Dashboard!$B$2,TeamLead_Reports!$D:$D,$B81))</x:f>
      </x:c>
      <x:c r="I81" s="5">
        <x:f>IF($A81="","",SUMIFS(TeamLead_Reports!$J:$J,TeamLead_Reports!$A:$A,Dashboard!$B$2,TeamLead_Reports!$D:$D,$B81))</x:f>
      </x:c>
      <x:c r="J81" s="5">
        <x:f>IF($A81="","",SUMIFS(TeamLead_Reports!$K:$K,TeamLead_Reports!$A:$A,Dashboard!$B$2,TeamLead_Reports!$D:$D,$B81))</x:f>
      </x:c>
      <x:c r="K81" s="5">
        <x:f>IF($A81="","",SUMIFS(TeamLead_Reports!$L:$L,TeamLead_Reports!$A:$A,Dashboard!$B$2,TeamLead_Reports!$D:$D,$B81))</x:f>
      </x:c>
      <x:c r="L81" s="5">
        <x:f>IF($A81="","",SUMIFS(TeamLead_Reports!$M:$M,TeamLead_Reports!$A:$A,Dashboard!$B$2,TeamLead_Reports!$D:$D,$B81))</x:f>
      </x:c>
      <x:c r="M81" s="5">
        <x:f>IF($A81="","",SUMIFS(TeamLead_Reports!$N:$N,TeamLead_Reports!$A:$A,Dashboard!$B$2,TeamLead_Reports!$D:$D,$B81))</x:f>
      </x:c>
      <x:c r="N81" s="5">
        <x:f>IF($A81="","",SUMIFS(TeamLead_Reports!$O:$O,TeamLead_Reports!$A:$A,Dashboard!$B$2,TeamLead_Reports!$D:$D,$B81))</x:f>
      </x:c>
      <x:c r="O81" s="5">
        <x:f>IF($A81="","",SUMIFS(TeamLead_Reports!$P:$P,TeamLead_Reports!$A:$A,Dashboard!$B$2,TeamLead_Reports!$D:$D,$B81))</x:f>
      </x:c>
      <x:c r="P81" s="5">
        <x:f>IF($A81="","",SUMIFS(TeamLead_Reports!$Q:$Q,TeamLead_Reports!$A:$A,Dashboard!$B$2,TeamLead_Reports!$D:$D,$B81))</x:f>
      </x:c>
      <x:c r="Q81" s="5">
        <x:f>IF($A81="","",SUMIFS(TeamLead_Reports!$R:$R,TeamLead_Reports!$A:$A,Dashboard!$B$2,TeamLead_Reports!$D:$D,$B81))</x:f>
      </x:c>
      <x:c r="R81" s="5">
        <x:f>IF($A81="","",SUMIFS(TeamLead_Reports!$S:$S,TeamLead_Reports!$A:$A,Dashboard!$B$2,TeamLead_Reports!$D:$D,$B81))</x:f>
      </x:c>
    </x:row>
    <x:row r="82">
      <x:c r="A82" s="5">
        <x:f>Settings!E82</x:f>
        <x:v>0</x:v>
      </x:c>
      <x:c r="B82" s="5">
        <x:f>Settings!F82</x:f>
        <x:v>0</x:v>
      </x:c>
      <x:c r="C82" s="5">
        <x:f>Settings!G82</x:f>
        <x:v>0</x:v>
      </x:c>
      <x:c r="D82" s="5">
        <x:f>IF($A82="","",COUNTIFS(TeamLead_Reports!$A:$A,Dashboard!$B$2,TeamLead_Reports!$D:$D,$B82))</x:f>
      </x:c>
      <x:c r="E82" s="5">
        <x:f>IF($A82="","",IFERROR(LOOKUP(2,1/((TeamLead_Reports!$A:$A=Dashboard!$B$2)*(TeamLead_Reports!$D:$D=$B82)),TeamLead_Reports!$V:$V),""))</x:f>
      </x:c>
      <x:c r="F82" s="5">
        <x:f>IF($A82="","",SUMIFS(TeamLead_Reports!$G:$G,TeamLead_Reports!$A:$A,Dashboard!$B$2,TeamLead_Reports!$D:$D,$B82))</x:f>
      </x:c>
      <x:c r="G82" s="5">
        <x:f>IF($A82="","",SUMIFS(TeamLead_Reports!$H:$H,TeamLead_Reports!$A:$A,Dashboard!$B$2,TeamLead_Reports!$D:$D,$B82))</x:f>
      </x:c>
      <x:c r="H82" s="5">
        <x:f>IF($A82="","",SUMIFS(TeamLead_Reports!$I:$I,TeamLead_Reports!$A:$A,Dashboard!$B$2,TeamLead_Reports!$D:$D,$B82))</x:f>
      </x:c>
      <x:c r="I82" s="5">
        <x:f>IF($A82="","",SUMIFS(TeamLead_Reports!$J:$J,TeamLead_Reports!$A:$A,Dashboard!$B$2,TeamLead_Reports!$D:$D,$B82))</x:f>
      </x:c>
      <x:c r="J82" s="5">
        <x:f>IF($A82="","",SUMIFS(TeamLead_Reports!$K:$K,TeamLead_Reports!$A:$A,Dashboard!$B$2,TeamLead_Reports!$D:$D,$B82))</x:f>
      </x:c>
      <x:c r="K82" s="5">
        <x:f>IF($A82="","",SUMIFS(TeamLead_Reports!$L:$L,TeamLead_Reports!$A:$A,Dashboard!$B$2,TeamLead_Reports!$D:$D,$B82))</x:f>
      </x:c>
      <x:c r="L82" s="5">
        <x:f>IF($A82="","",SUMIFS(TeamLead_Reports!$M:$M,TeamLead_Reports!$A:$A,Dashboard!$B$2,TeamLead_Reports!$D:$D,$B82))</x:f>
      </x:c>
      <x:c r="M82" s="5">
        <x:f>IF($A82="","",SUMIFS(TeamLead_Reports!$N:$N,TeamLead_Reports!$A:$A,Dashboard!$B$2,TeamLead_Reports!$D:$D,$B82))</x:f>
      </x:c>
      <x:c r="N82" s="5">
        <x:f>IF($A82="","",SUMIFS(TeamLead_Reports!$O:$O,TeamLead_Reports!$A:$A,Dashboard!$B$2,TeamLead_Reports!$D:$D,$B82))</x:f>
      </x:c>
      <x:c r="O82" s="5">
        <x:f>IF($A82="","",SUMIFS(TeamLead_Reports!$P:$P,TeamLead_Reports!$A:$A,Dashboard!$B$2,TeamLead_Reports!$D:$D,$B82))</x:f>
      </x:c>
      <x:c r="P82" s="5">
        <x:f>IF($A82="","",SUMIFS(TeamLead_Reports!$Q:$Q,TeamLead_Reports!$A:$A,Dashboard!$B$2,TeamLead_Reports!$D:$D,$B82))</x:f>
      </x:c>
      <x:c r="Q82" s="5">
        <x:f>IF($A82="","",SUMIFS(TeamLead_Reports!$R:$R,TeamLead_Reports!$A:$A,Dashboard!$B$2,TeamLead_Reports!$D:$D,$B82))</x:f>
      </x:c>
      <x:c r="R82" s="5">
        <x:f>IF($A82="","",SUMIFS(TeamLead_Reports!$S:$S,TeamLead_Reports!$A:$A,Dashboard!$B$2,TeamLead_Reports!$D:$D,$B82))</x:f>
      </x:c>
    </x:row>
    <x:row r="83">
      <x:c r="A83" s="5">
        <x:f>Settings!E83</x:f>
        <x:v>0</x:v>
      </x:c>
      <x:c r="B83" s="5">
        <x:f>Settings!F83</x:f>
        <x:v>0</x:v>
      </x:c>
      <x:c r="C83" s="5">
        <x:f>Settings!G83</x:f>
        <x:v>0</x:v>
      </x:c>
      <x:c r="D83" s="5">
        <x:f>IF($A83="","",COUNTIFS(TeamLead_Reports!$A:$A,Dashboard!$B$2,TeamLead_Reports!$D:$D,$B83))</x:f>
      </x:c>
      <x:c r="E83" s="5">
        <x:f>IF($A83="","",IFERROR(LOOKUP(2,1/((TeamLead_Reports!$A:$A=Dashboard!$B$2)*(TeamLead_Reports!$D:$D=$B83)),TeamLead_Reports!$V:$V),""))</x:f>
      </x:c>
      <x:c r="F83" s="5">
        <x:f>IF($A83="","",SUMIFS(TeamLead_Reports!$G:$G,TeamLead_Reports!$A:$A,Dashboard!$B$2,TeamLead_Reports!$D:$D,$B83))</x:f>
      </x:c>
      <x:c r="G83" s="5">
        <x:f>IF($A83="","",SUMIFS(TeamLead_Reports!$H:$H,TeamLead_Reports!$A:$A,Dashboard!$B$2,TeamLead_Reports!$D:$D,$B83))</x:f>
      </x:c>
      <x:c r="H83" s="5">
        <x:f>IF($A83="","",SUMIFS(TeamLead_Reports!$I:$I,TeamLead_Reports!$A:$A,Dashboard!$B$2,TeamLead_Reports!$D:$D,$B83))</x:f>
      </x:c>
      <x:c r="I83" s="5">
        <x:f>IF($A83="","",SUMIFS(TeamLead_Reports!$J:$J,TeamLead_Reports!$A:$A,Dashboard!$B$2,TeamLead_Reports!$D:$D,$B83))</x:f>
      </x:c>
      <x:c r="J83" s="5">
        <x:f>IF($A83="","",SUMIFS(TeamLead_Reports!$K:$K,TeamLead_Reports!$A:$A,Dashboard!$B$2,TeamLead_Reports!$D:$D,$B83))</x:f>
      </x:c>
      <x:c r="K83" s="5">
        <x:f>IF($A83="","",SUMIFS(TeamLead_Reports!$L:$L,TeamLead_Reports!$A:$A,Dashboard!$B$2,TeamLead_Reports!$D:$D,$B83))</x:f>
      </x:c>
      <x:c r="L83" s="5">
        <x:f>IF($A83="","",SUMIFS(TeamLead_Reports!$M:$M,TeamLead_Reports!$A:$A,Dashboard!$B$2,TeamLead_Reports!$D:$D,$B83))</x:f>
      </x:c>
      <x:c r="M83" s="5">
        <x:f>IF($A83="","",SUMIFS(TeamLead_Reports!$N:$N,TeamLead_Reports!$A:$A,Dashboard!$B$2,TeamLead_Reports!$D:$D,$B83))</x:f>
      </x:c>
      <x:c r="N83" s="5">
        <x:f>IF($A83="","",SUMIFS(TeamLead_Reports!$O:$O,TeamLead_Reports!$A:$A,Dashboard!$B$2,TeamLead_Reports!$D:$D,$B83))</x:f>
      </x:c>
      <x:c r="O83" s="5">
        <x:f>IF($A83="","",SUMIFS(TeamLead_Reports!$P:$P,TeamLead_Reports!$A:$A,Dashboard!$B$2,TeamLead_Reports!$D:$D,$B83))</x:f>
      </x:c>
      <x:c r="P83" s="5">
        <x:f>IF($A83="","",SUMIFS(TeamLead_Reports!$Q:$Q,TeamLead_Reports!$A:$A,Dashboard!$B$2,TeamLead_Reports!$D:$D,$B83))</x:f>
      </x:c>
      <x:c r="Q83" s="5">
        <x:f>IF($A83="","",SUMIFS(TeamLead_Reports!$R:$R,TeamLead_Reports!$A:$A,Dashboard!$B$2,TeamLead_Reports!$D:$D,$B83))</x:f>
      </x:c>
      <x:c r="R83" s="5">
        <x:f>IF($A83="","",SUMIFS(TeamLead_Reports!$S:$S,TeamLead_Reports!$A:$A,Dashboard!$B$2,TeamLead_Reports!$D:$D,$B83))</x:f>
      </x:c>
    </x:row>
    <x:row r="84">
      <x:c r="A84" s="5">
        <x:f>Settings!E84</x:f>
        <x:v>0</x:v>
      </x:c>
      <x:c r="B84" s="5">
        <x:f>Settings!F84</x:f>
        <x:v>0</x:v>
      </x:c>
      <x:c r="C84" s="5">
        <x:f>Settings!G84</x:f>
        <x:v>0</x:v>
      </x:c>
      <x:c r="D84" s="5">
        <x:f>IF($A84="","",COUNTIFS(TeamLead_Reports!$A:$A,Dashboard!$B$2,TeamLead_Reports!$D:$D,$B84))</x:f>
      </x:c>
      <x:c r="E84" s="5">
        <x:f>IF($A84="","",IFERROR(LOOKUP(2,1/((TeamLead_Reports!$A:$A=Dashboard!$B$2)*(TeamLead_Reports!$D:$D=$B84)),TeamLead_Reports!$V:$V),""))</x:f>
      </x:c>
      <x:c r="F84" s="5">
        <x:f>IF($A84="","",SUMIFS(TeamLead_Reports!$G:$G,TeamLead_Reports!$A:$A,Dashboard!$B$2,TeamLead_Reports!$D:$D,$B84))</x:f>
      </x:c>
      <x:c r="G84" s="5">
        <x:f>IF($A84="","",SUMIFS(TeamLead_Reports!$H:$H,TeamLead_Reports!$A:$A,Dashboard!$B$2,TeamLead_Reports!$D:$D,$B84))</x:f>
      </x:c>
      <x:c r="H84" s="5">
        <x:f>IF($A84="","",SUMIFS(TeamLead_Reports!$I:$I,TeamLead_Reports!$A:$A,Dashboard!$B$2,TeamLead_Reports!$D:$D,$B84))</x:f>
      </x:c>
      <x:c r="I84" s="5">
        <x:f>IF($A84="","",SUMIFS(TeamLead_Reports!$J:$J,TeamLead_Reports!$A:$A,Dashboard!$B$2,TeamLead_Reports!$D:$D,$B84))</x:f>
      </x:c>
      <x:c r="J84" s="5">
        <x:f>IF($A84="","",SUMIFS(TeamLead_Reports!$K:$K,TeamLead_Reports!$A:$A,Dashboard!$B$2,TeamLead_Reports!$D:$D,$B84))</x:f>
      </x:c>
      <x:c r="K84" s="5">
        <x:f>IF($A84="","",SUMIFS(TeamLead_Reports!$L:$L,TeamLead_Reports!$A:$A,Dashboard!$B$2,TeamLead_Reports!$D:$D,$B84))</x:f>
      </x:c>
      <x:c r="L84" s="5">
        <x:f>IF($A84="","",SUMIFS(TeamLead_Reports!$M:$M,TeamLead_Reports!$A:$A,Dashboard!$B$2,TeamLead_Reports!$D:$D,$B84))</x:f>
      </x:c>
      <x:c r="M84" s="5">
        <x:f>IF($A84="","",SUMIFS(TeamLead_Reports!$N:$N,TeamLead_Reports!$A:$A,Dashboard!$B$2,TeamLead_Reports!$D:$D,$B84))</x:f>
      </x:c>
      <x:c r="N84" s="5">
        <x:f>IF($A84="","",SUMIFS(TeamLead_Reports!$O:$O,TeamLead_Reports!$A:$A,Dashboard!$B$2,TeamLead_Reports!$D:$D,$B84))</x:f>
      </x:c>
      <x:c r="O84" s="5">
        <x:f>IF($A84="","",SUMIFS(TeamLead_Reports!$P:$P,TeamLead_Reports!$A:$A,Dashboard!$B$2,TeamLead_Reports!$D:$D,$B84))</x:f>
      </x:c>
      <x:c r="P84" s="5">
        <x:f>IF($A84="","",SUMIFS(TeamLead_Reports!$Q:$Q,TeamLead_Reports!$A:$A,Dashboard!$B$2,TeamLead_Reports!$D:$D,$B84))</x:f>
      </x:c>
      <x:c r="Q84" s="5">
        <x:f>IF($A84="","",SUMIFS(TeamLead_Reports!$R:$R,TeamLead_Reports!$A:$A,Dashboard!$B$2,TeamLead_Reports!$D:$D,$B84))</x:f>
      </x:c>
      <x:c r="R84" s="5">
        <x:f>IF($A84="","",SUMIFS(TeamLead_Reports!$S:$S,TeamLead_Reports!$A:$A,Dashboard!$B$2,TeamLead_Reports!$D:$D,$B84))</x:f>
      </x:c>
    </x:row>
    <x:row r="85">
      <x:c r="A85" s="5">
        <x:f>Settings!E85</x:f>
        <x:v>0</x:v>
      </x:c>
      <x:c r="B85" s="5">
        <x:f>Settings!F85</x:f>
        <x:v>0</x:v>
      </x:c>
      <x:c r="C85" s="5">
        <x:f>Settings!G85</x:f>
        <x:v>0</x:v>
      </x:c>
      <x:c r="D85" s="5">
        <x:f>IF($A85="","",COUNTIFS(TeamLead_Reports!$A:$A,Dashboard!$B$2,TeamLead_Reports!$D:$D,$B85))</x:f>
      </x:c>
      <x:c r="E85" s="5">
        <x:f>IF($A85="","",IFERROR(LOOKUP(2,1/((TeamLead_Reports!$A:$A=Dashboard!$B$2)*(TeamLead_Reports!$D:$D=$B85)),TeamLead_Reports!$V:$V),""))</x:f>
      </x:c>
      <x:c r="F85" s="5">
        <x:f>IF($A85="","",SUMIFS(TeamLead_Reports!$G:$G,TeamLead_Reports!$A:$A,Dashboard!$B$2,TeamLead_Reports!$D:$D,$B85))</x:f>
      </x:c>
      <x:c r="G85" s="5">
        <x:f>IF($A85="","",SUMIFS(TeamLead_Reports!$H:$H,TeamLead_Reports!$A:$A,Dashboard!$B$2,TeamLead_Reports!$D:$D,$B85))</x:f>
      </x:c>
      <x:c r="H85" s="5">
        <x:f>IF($A85="","",SUMIFS(TeamLead_Reports!$I:$I,TeamLead_Reports!$A:$A,Dashboard!$B$2,TeamLead_Reports!$D:$D,$B85))</x:f>
      </x:c>
      <x:c r="I85" s="5">
        <x:f>IF($A85="","",SUMIFS(TeamLead_Reports!$J:$J,TeamLead_Reports!$A:$A,Dashboard!$B$2,TeamLead_Reports!$D:$D,$B85))</x:f>
      </x:c>
      <x:c r="J85" s="5">
        <x:f>IF($A85="","",SUMIFS(TeamLead_Reports!$K:$K,TeamLead_Reports!$A:$A,Dashboard!$B$2,TeamLead_Reports!$D:$D,$B85))</x:f>
      </x:c>
      <x:c r="K85" s="5">
        <x:f>IF($A85="","",SUMIFS(TeamLead_Reports!$L:$L,TeamLead_Reports!$A:$A,Dashboard!$B$2,TeamLead_Reports!$D:$D,$B85))</x:f>
      </x:c>
      <x:c r="L85" s="5">
        <x:f>IF($A85="","",SUMIFS(TeamLead_Reports!$M:$M,TeamLead_Reports!$A:$A,Dashboard!$B$2,TeamLead_Reports!$D:$D,$B85))</x:f>
      </x:c>
      <x:c r="M85" s="5">
        <x:f>IF($A85="","",SUMIFS(TeamLead_Reports!$N:$N,TeamLead_Reports!$A:$A,Dashboard!$B$2,TeamLead_Reports!$D:$D,$B85))</x:f>
      </x:c>
      <x:c r="N85" s="5">
        <x:f>IF($A85="","",SUMIFS(TeamLead_Reports!$O:$O,TeamLead_Reports!$A:$A,Dashboard!$B$2,TeamLead_Reports!$D:$D,$B85))</x:f>
      </x:c>
      <x:c r="O85" s="5">
        <x:f>IF($A85="","",SUMIFS(TeamLead_Reports!$P:$P,TeamLead_Reports!$A:$A,Dashboard!$B$2,TeamLead_Reports!$D:$D,$B85))</x:f>
      </x:c>
      <x:c r="P85" s="5">
        <x:f>IF($A85="","",SUMIFS(TeamLead_Reports!$Q:$Q,TeamLead_Reports!$A:$A,Dashboard!$B$2,TeamLead_Reports!$D:$D,$B85))</x:f>
      </x:c>
      <x:c r="Q85" s="5">
        <x:f>IF($A85="","",SUMIFS(TeamLead_Reports!$R:$R,TeamLead_Reports!$A:$A,Dashboard!$B$2,TeamLead_Reports!$D:$D,$B85))</x:f>
      </x:c>
      <x:c r="R85" s="5">
        <x:f>IF($A85="","",SUMIFS(TeamLead_Reports!$S:$S,TeamLead_Reports!$A:$A,Dashboard!$B$2,TeamLead_Reports!$D:$D,$B85))</x:f>
      </x:c>
    </x:row>
    <x:row r="86">
      <x:c r="A86" s="5">
        <x:f>Settings!E86</x:f>
        <x:v>0</x:v>
      </x:c>
      <x:c r="B86" s="5">
        <x:f>Settings!F86</x:f>
        <x:v>0</x:v>
      </x:c>
      <x:c r="C86" s="5">
        <x:f>Settings!G86</x:f>
        <x:v>0</x:v>
      </x:c>
      <x:c r="D86" s="5">
        <x:f>IF($A86="","",COUNTIFS(TeamLead_Reports!$A:$A,Dashboard!$B$2,TeamLead_Reports!$D:$D,$B86))</x:f>
      </x:c>
      <x:c r="E86" s="5">
        <x:f>IF($A86="","",IFERROR(LOOKUP(2,1/((TeamLead_Reports!$A:$A=Dashboard!$B$2)*(TeamLead_Reports!$D:$D=$B86)),TeamLead_Reports!$V:$V),""))</x:f>
      </x:c>
      <x:c r="F86" s="5">
        <x:f>IF($A86="","",SUMIFS(TeamLead_Reports!$G:$G,TeamLead_Reports!$A:$A,Dashboard!$B$2,TeamLead_Reports!$D:$D,$B86))</x:f>
      </x:c>
      <x:c r="G86" s="5">
        <x:f>IF($A86="","",SUMIFS(TeamLead_Reports!$H:$H,TeamLead_Reports!$A:$A,Dashboard!$B$2,TeamLead_Reports!$D:$D,$B86))</x:f>
      </x:c>
      <x:c r="H86" s="5">
        <x:f>IF($A86="","",SUMIFS(TeamLead_Reports!$I:$I,TeamLead_Reports!$A:$A,Dashboard!$B$2,TeamLead_Reports!$D:$D,$B86))</x:f>
      </x:c>
      <x:c r="I86" s="5">
        <x:f>IF($A86="","",SUMIFS(TeamLead_Reports!$J:$J,TeamLead_Reports!$A:$A,Dashboard!$B$2,TeamLead_Reports!$D:$D,$B86))</x:f>
      </x:c>
      <x:c r="J86" s="5">
        <x:f>IF($A86="","",SUMIFS(TeamLead_Reports!$K:$K,TeamLead_Reports!$A:$A,Dashboard!$B$2,TeamLead_Reports!$D:$D,$B86))</x:f>
      </x:c>
      <x:c r="K86" s="5">
        <x:f>IF($A86="","",SUMIFS(TeamLead_Reports!$L:$L,TeamLead_Reports!$A:$A,Dashboard!$B$2,TeamLead_Reports!$D:$D,$B86))</x:f>
      </x:c>
      <x:c r="L86" s="5">
        <x:f>IF($A86="","",SUMIFS(TeamLead_Reports!$M:$M,TeamLead_Reports!$A:$A,Dashboard!$B$2,TeamLead_Reports!$D:$D,$B86))</x:f>
      </x:c>
      <x:c r="M86" s="5">
        <x:f>IF($A86="","",SUMIFS(TeamLead_Reports!$N:$N,TeamLead_Reports!$A:$A,Dashboard!$B$2,TeamLead_Reports!$D:$D,$B86))</x:f>
      </x:c>
      <x:c r="N86" s="5">
        <x:f>IF($A86="","",SUMIFS(TeamLead_Reports!$O:$O,TeamLead_Reports!$A:$A,Dashboard!$B$2,TeamLead_Reports!$D:$D,$B86))</x:f>
      </x:c>
      <x:c r="O86" s="5">
        <x:f>IF($A86="","",SUMIFS(TeamLead_Reports!$P:$P,TeamLead_Reports!$A:$A,Dashboard!$B$2,TeamLead_Reports!$D:$D,$B86))</x:f>
      </x:c>
      <x:c r="P86" s="5">
        <x:f>IF($A86="","",SUMIFS(TeamLead_Reports!$Q:$Q,TeamLead_Reports!$A:$A,Dashboard!$B$2,TeamLead_Reports!$D:$D,$B86))</x:f>
      </x:c>
      <x:c r="Q86" s="5">
        <x:f>IF($A86="","",SUMIFS(TeamLead_Reports!$R:$R,TeamLead_Reports!$A:$A,Dashboard!$B$2,TeamLead_Reports!$D:$D,$B86))</x:f>
      </x:c>
      <x:c r="R86" s="5">
        <x:f>IF($A86="","",SUMIFS(TeamLead_Reports!$S:$S,TeamLead_Reports!$A:$A,Dashboard!$B$2,TeamLead_Reports!$D:$D,$B86))</x:f>
      </x:c>
    </x:row>
    <x:row r="87">
      <x:c r="A87" s="5">
        <x:f>Settings!E87</x:f>
        <x:v>0</x:v>
      </x:c>
      <x:c r="B87" s="5">
        <x:f>Settings!F87</x:f>
        <x:v>0</x:v>
      </x:c>
      <x:c r="C87" s="5">
        <x:f>Settings!G87</x:f>
        <x:v>0</x:v>
      </x:c>
      <x:c r="D87" s="5">
        <x:f>IF($A87="","",COUNTIFS(TeamLead_Reports!$A:$A,Dashboard!$B$2,TeamLead_Reports!$D:$D,$B87))</x:f>
      </x:c>
      <x:c r="E87" s="5">
        <x:f>IF($A87="","",IFERROR(LOOKUP(2,1/((TeamLead_Reports!$A:$A=Dashboard!$B$2)*(TeamLead_Reports!$D:$D=$B87)),TeamLead_Reports!$V:$V),""))</x:f>
      </x:c>
      <x:c r="F87" s="5">
        <x:f>IF($A87="","",SUMIFS(TeamLead_Reports!$G:$G,TeamLead_Reports!$A:$A,Dashboard!$B$2,TeamLead_Reports!$D:$D,$B87))</x:f>
      </x:c>
      <x:c r="G87" s="5">
        <x:f>IF($A87="","",SUMIFS(TeamLead_Reports!$H:$H,TeamLead_Reports!$A:$A,Dashboard!$B$2,TeamLead_Reports!$D:$D,$B87))</x:f>
      </x:c>
      <x:c r="H87" s="5">
        <x:f>IF($A87="","",SUMIFS(TeamLead_Reports!$I:$I,TeamLead_Reports!$A:$A,Dashboard!$B$2,TeamLead_Reports!$D:$D,$B87))</x:f>
      </x:c>
      <x:c r="I87" s="5">
        <x:f>IF($A87="","",SUMIFS(TeamLead_Reports!$J:$J,TeamLead_Reports!$A:$A,Dashboard!$B$2,TeamLead_Reports!$D:$D,$B87))</x:f>
      </x:c>
      <x:c r="J87" s="5">
        <x:f>IF($A87="","",SUMIFS(TeamLead_Reports!$K:$K,TeamLead_Reports!$A:$A,Dashboard!$B$2,TeamLead_Reports!$D:$D,$B87))</x:f>
      </x:c>
      <x:c r="K87" s="5">
        <x:f>IF($A87="","",SUMIFS(TeamLead_Reports!$L:$L,TeamLead_Reports!$A:$A,Dashboard!$B$2,TeamLead_Reports!$D:$D,$B87))</x:f>
      </x:c>
      <x:c r="L87" s="5">
        <x:f>IF($A87="","",SUMIFS(TeamLead_Reports!$M:$M,TeamLead_Reports!$A:$A,Dashboard!$B$2,TeamLead_Reports!$D:$D,$B87))</x:f>
      </x:c>
      <x:c r="M87" s="5">
        <x:f>IF($A87="","",SUMIFS(TeamLead_Reports!$N:$N,TeamLead_Reports!$A:$A,Dashboard!$B$2,TeamLead_Reports!$D:$D,$B87))</x:f>
      </x:c>
      <x:c r="N87" s="5">
        <x:f>IF($A87="","",SUMIFS(TeamLead_Reports!$O:$O,TeamLead_Reports!$A:$A,Dashboard!$B$2,TeamLead_Reports!$D:$D,$B87))</x:f>
      </x:c>
      <x:c r="O87" s="5">
        <x:f>IF($A87="","",SUMIFS(TeamLead_Reports!$P:$P,TeamLead_Reports!$A:$A,Dashboard!$B$2,TeamLead_Reports!$D:$D,$B87))</x:f>
      </x:c>
      <x:c r="P87" s="5">
        <x:f>IF($A87="","",SUMIFS(TeamLead_Reports!$Q:$Q,TeamLead_Reports!$A:$A,Dashboard!$B$2,TeamLead_Reports!$D:$D,$B87))</x:f>
      </x:c>
      <x:c r="Q87" s="5">
        <x:f>IF($A87="","",SUMIFS(TeamLead_Reports!$R:$R,TeamLead_Reports!$A:$A,Dashboard!$B$2,TeamLead_Reports!$D:$D,$B87))</x:f>
      </x:c>
      <x:c r="R87" s="5">
        <x:f>IF($A87="","",SUMIFS(TeamLead_Reports!$S:$S,TeamLead_Reports!$A:$A,Dashboard!$B$2,TeamLead_Reports!$D:$D,$B87))</x:f>
      </x:c>
    </x:row>
    <x:row r="88">
      <x:c r="A88" s="5">
        <x:f>Settings!E88</x:f>
        <x:v>0</x:v>
      </x:c>
      <x:c r="B88" s="5">
        <x:f>Settings!F88</x:f>
        <x:v>0</x:v>
      </x:c>
      <x:c r="C88" s="5">
        <x:f>Settings!G88</x:f>
        <x:v>0</x:v>
      </x:c>
      <x:c r="D88" s="5">
        <x:f>IF($A88="","",COUNTIFS(TeamLead_Reports!$A:$A,Dashboard!$B$2,TeamLead_Reports!$D:$D,$B88))</x:f>
      </x:c>
      <x:c r="E88" s="5">
        <x:f>IF($A88="","",IFERROR(LOOKUP(2,1/((TeamLead_Reports!$A:$A=Dashboard!$B$2)*(TeamLead_Reports!$D:$D=$B88)),TeamLead_Reports!$V:$V),""))</x:f>
      </x:c>
      <x:c r="F88" s="5">
        <x:f>IF($A88="","",SUMIFS(TeamLead_Reports!$G:$G,TeamLead_Reports!$A:$A,Dashboard!$B$2,TeamLead_Reports!$D:$D,$B88))</x:f>
      </x:c>
      <x:c r="G88" s="5">
        <x:f>IF($A88="","",SUMIFS(TeamLead_Reports!$H:$H,TeamLead_Reports!$A:$A,Dashboard!$B$2,TeamLead_Reports!$D:$D,$B88))</x:f>
      </x:c>
      <x:c r="H88" s="5">
        <x:f>IF($A88="","",SUMIFS(TeamLead_Reports!$I:$I,TeamLead_Reports!$A:$A,Dashboard!$B$2,TeamLead_Reports!$D:$D,$B88))</x:f>
      </x:c>
      <x:c r="I88" s="5">
        <x:f>IF($A88="","",SUMIFS(TeamLead_Reports!$J:$J,TeamLead_Reports!$A:$A,Dashboard!$B$2,TeamLead_Reports!$D:$D,$B88))</x:f>
      </x:c>
      <x:c r="J88" s="5">
        <x:f>IF($A88="","",SUMIFS(TeamLead_Reports!$K:$K,TeamLead_Reports!$A:$A,Dashboard!$B$2,TeamLead_Reports!$D:$D,$B88))</x:f>
      </x:c>
      <x:c r="K88" s="5">
        <x:f>IF($A88="","",SUMIFS(TeamLead_Reports!$L:$L,TeamLead_Reports!$A:$A,Dashboard!$B$2,TeamLead_Reports!$D:$D,$B88))</x:f>
      </x:c>
      <x:c r="L88" s="5">
        <x:f>IF($A88="","",SUMIFS(TeamLead_Reports!$M:$M,TeamLead_Reports!$A:$A,Dashboard!$B$2,TeamLead_Reports!$D:$D,$B88))</x:f>
      </x:c>
      <x:c r="M88" s="5">
        <x:f>IF($A88="","",SUMIFS(TeamLead_Reports!$N:$N,TeamLead_Reports!$A:$A,Dashboard!$B$2,TeamLead_Reports!$D:$D,$B88))</x:f>
      </x:c>
      <x:c r="N88" s="5">
        <x:f>IF($A88="","",SUMIFS(TeamLead_Reports!$O:$O,TeamLead_Reports!$A:$A,Dashboard!$B$2,TeamLead_Reports!$D:$D,$B88))</x:f>
      </x:c>
      <x:c r="O88" s="5">
        <x:f>IF($A88="","",SUMIFS(TeamLead_Reports!$P:$P,TeamLead_Reports!$A:$A,Dashboard!$B$2,TeamLead_Reports!$D:$D,$B88))</x:f>
      </x:c>
      <x:c r="P88" s="5">
        <x:f>IF($A88="","",SUMIFS(TeamLead_Reports!$Q:$Q,TeamLead_Reports!$A:$A,Dashboard!$B$2,TeamLead_Reports!$D:$D,$B88))</x:f>
      </x:c>
      <x:c r="Q88" s="5">
        <x:f>IF($A88="","",SUMIFS(TeamLead_Reports!$R:$R,TeamLead_Reports!$A:$A,Dashboard!$B$2,TeamLead_Reports!$D:$D,$B88))</x:f>
      </x:c>
      <x:c r="R88" s="5">
        <x:f>IF($A88="","",SUMIFS(TeamLead_Reports!$S:$S,TeamLead_Reports!$A:$A,Dashboard!$B$2,TeamLead_Reports!$D:$D,$B88))</x:f>
      </x:c>
    </x:row>
    <x:row r="89">
      <x:c r="A89" s="5">
        <x:f>Settings!E89</x:f>
        <x:v>0</x:v>
      </x:c>
      <x:c r="B89" s="5">
        <x:f>Settings!F89</x:f>
        <x:v>0</x:v>
      </x:c>
      <x:c r="C89" s="5">
        <x:f>Settings!G89</x:f>
        <x:v>0</x:v>
      </x:c>
      <x:c r="D89" s="5">
        <x:f>IF($A89="","",COUNTIFS(TeamLead_Reports!$A:$A,Dashboard!$B$2,TeamLead_Reports!$D:$D,$B89))</x:f>
      </x:c>
      <x:c r="E89" s="5">
        <x:f>IF($A89="","",IFERROR(LOOKUP(2,1/((TeamLead_Reports!$A:$A=Dashboard!$B$2)*(TeamLead_Reports!$D:$D=$B89)),TeamLead_Reports!$V:$V),""))</x:f>
      </x:c>
      <x:c r="F89" s="5">
        <x:f>IF($A89="","",SUMIFS(TeamLead_Reports!$G:$G,TeamLead_Reports!$A:$A,Dashboard!$B$2,TeamLead_Reports!$D:$D,$B89))</x:f>
      </x:c>
      <x:c r="G89" s="5">
        <x:f>IF($A89="","",SUMIFS(TeamLead_Reports!$H:$H,TeamLead_Reports!$A:$A,Dashboard!$B$2,TeamLead_Reports!$D:$D,$B89))</x:f>
      </x:c>
      <x:c r="H89" s="5">
        <x:f>IF($A89="","",SUMIFS(TeamLead_Reports!$I:$I,TeamLead_Reports!$A:$A,Dashboard!$B$2,TeamLead_Reports!$D:$D,$B89))</x:f>
      </x:c>
      <x:c r="I89" s="5">
        <x:f>IF($A89="","",SUMIFS(TeamLead_Reports!$J:$J,TeamLead_Reports!$A:$A,Dashboard!$B$2,TeamLead_Reports!$D:$D,$B89))</x:f>
      </x:c>
      <x:c r="J89" s="5">
        <x:f>IF($A89="","",SUMIFS(TeamLead_Reports!$K:$K,TeamLead_Reports!$A:$A,Dashboard!$B$2,TeamLead_Reports!$D:$D,$B89))</x:f>
      </x:c>
      <x:c r="K89" s="5">
        <x:f>IF($A89="","",SUMIFS(TeamLead_Reports!$L:$L,TeamLead_Reports!$A:$A,Dashboard!$B$2,TeamLead_Reports!$D:$D,$B89))</x:f>
      </x:c>
      <x:c r="L89" s="5">
        <x:f>IF($A89="","",SUMIFS(TeamLead_Reports!$M:$M,TeamLead_Reports!$A:$A,Dashboard!$B$2,TeamLead_Reports!$D:$D,$B89))</x:f>
      </x:c>
      <x:c r="M89" s="5">
        <x:f>IF($A89="","",SUMIFS(TeamLead_Reports!$N:$N,TeamLead_Reports!$A:$A,Dashboard!$B$2,TeamLead_Reports!$D:$D,$B89))</x:f>
      </x:c>
      <x:c r="N89" s="5">
        <x:f>IF($A89="","",SUMIFS(TeamLead_Reports!$O:$O,TeamLead_Reports!$A:$A,Dashboard!$B$2,TeamLead_Reports!$D:$D,$B89))</x:f>
      </x:c>
      <x:c r="O89" s="5">
        <x:f>IF($A89="","",SUMIFS(TeamLead_Reports!$P:$P,TeamLead_Reports!$A:$A,Dashboard!$B$2,TeamLead_Reports!$D:$D,$B89))</x:f>
      </x:c>
      <x:c r="P89" s="5">
        <x:f>IF($A89="","",SUMIFS(TeamLead_Reports!$Q:$Q,TeamLead_Reports!$A:$A,Dashboard!$B$2,TeamLead_Reports!$D:$D,$B89))</x:f>
      </x:c>
      <x:c r="Q89" s="5">
        <x:f>IF($A89="","",SUMIFS(TeamLead_Reports!$R:$R,TeamLead_Reports!$A:$A,Dashboard!$B$2,TeamLead_Reports!$D:$D,$B89))</x:f>
      </x:c>
      <x:c r="R89" s="5">
        <x:f>IF($A89="","",SUMIFS(TeamLead_Reports!$S:$S,TeamLead_Reports!$A:$A,Dashboard!$B$2,TeamLead_Reports!$D:$D,$B89))</x:f>
      </x:c>
    </x:row>
    <x:row r="90">
      <x:c r="A90" s="5">
        <x:f>Settings!E90</x:f>
        <x:v>0</x:v>
      </x:c>
      <x:c r="B90" s="5">
        <x:f>Settings!F90</x:f>
        <x:v>0</x:v>
      </x:c>
      <x:c r="C90" s="5">
        <x:f>Settings!G90</x:f>
        <x:v>0</x:v>
      </x:c>
      <x:c r="D90" s="5">
        <x:f>IF($A90="","",COUNTIFS(TeamLead_Reports!$A:$A,Dashboard!$B$2,TeamLead_Reports!$D:$D,$B90))</x:f>
      </x:c>
      <x:c r="E90" s="5">
        <x:f>IF($A90="","",IFERROR(LOOKUP(2,1/((TeamLead_Reports!$A:$A=Dashboard!$B$2)*(TeamLead_Reports!$D:$D=$B90)),TeamLead_Reports!$V:$V),""))</x:f>
      </x:c>
      <x:c r="F90" s="5">
        <x:f>IF($A90="","",SUMIFS(TeamLead_Reports!$G:$G,TeamLead_Reports!$A:$A,Dashboard!$B$2,TeamLead_Reports!$D:$D,$B90))</x:f>
      </x:c>
      <x:c r="G90" s="5">
        <x:f>IF($A90="","",SUMIFS(TeamLead_Reports!$H:$H,TeamLead_Reports!$A:$A,Dashboard!$B$2,TeamLead_Reports!$D:$D,$B90))</x:f>
      </x:c>
      <x:c r="H90" s="5">
        <x:f>IF($A90="","",SUMIFS(TeamLead_Reports!$I:$I,TeamLead_Reports!$A:$A,Dashboard!$B$2,TeamLead_Reports!$D:$D,$B90))</x:f>
      </x:c>
      <x:c r="I90" s="5">
        <x:f>IF($A90="","",SUMIFS(TeamLead_Reports!$J:$J,TeamLead_Reports!$A:$A,Dashboard!$B$2,TeamLead_Reports!$D:$D,$B90))</x:f>
      </x:c>
      <x:c r="J90" s="5">
        <x:f>IF($A90="","",SUMIFS(TeamLead_Reports!$K:$K,TeamLead_Reports!$A:$A,Dashboard!$B$2,TeamLead_Reports!$D:$D,$B90))</x:f>
      </x:c>
      <x:c r="K90" s="5">
        <x:f>IF($A90="","",SUMIFS(TeamLead_Reports!$L:$L,TeamLead_Reports!$A:$A,Dashboard!$B$2,TeamLead_Reports!$D:$D,$B90))</x:f>
      </x:c>
      <x:c r="L90" s="5">
        <x:f>IF($A90="","",SUMIFS(TeamLead_Reports!$M:$M,TeamLead_Reports!$A:$A,Dashboard!$B$2,TeamLead_Reports!$D:$D,$B90))</x:f>
      </x:c>
      <x:c r="M90" s="5">
        <x:f>IF($A90="","",SUMIFS(TeamLead_Reports!$N:$N,TeamLead_Reports!$A:$A,Dashboard!$B$2,TeamLead_Reports!$D:$D,$B90))</x:f>
      </x:c>
      <x:c r="N90" s="5">
        <x:f>IF($A90="","",SUMIFS(TeamLead_Reports!$O:$O,TeamLead_Reports!$A:$A,Dashboard!$B$2,TeamLead_Reports!$D:$D,$B90))</x:f>
      </x:c>
      <x:c r="O90" s="5">
        <x:f>IF($A90="","",SUMIFS(TeamLead_Reports!$P:$P,TeamLead_Reports!$A:$A,Dashboard!$B$2,TeamLead_Reports!$D:$D,$B90))</x:f>
      </x:c>
      <x:c r="P90" s="5">
        <x:f>IF($A90="","",SUMIFS(TeamLead_Reports!$Q:$Q,TeamLead_Reports!$A:$A,Dashboard!$B$2,TeamLead_Reports!$D:$D,$B90))</x:f>
      </x:c>
      <x:c r="Q90" s="5">
        <x:f>IF($A90="","",SUMIFS(TeamLead_Reports!$R:$R,TeamLead_Reports!$A:$A,Dashboard!$B$2,TeamLead_Reports!$D:$D,$B90))</x:f>
      </x:c>
      <x:c r="R90" s="5">
        <x:f>IF($A90="","",SUMIFS(TeamLead_Reports!$S:$S,TeamLead_Reports!$A:$A,Dashboard!$B$2,TeamLead_Reports!$D:$D,$B90))</x:f>
      </x:c>
    </x:row>
    <x:row r="91">
      <x:c r="A91" s="5">
        <x:f>Settings!E91</x:f>
        <x:v>0</x:v>
      </x:c>
      <x:c r="B91" s="5">
        <x:f>Settings!F91</x:f>
        <x:v>0</x:v>
      </x:c>
      <x:c r="C91" s="5">
        <x:f>Settings!G91</x:f>
        <x:v>0</x:v>
      </x:c>
      <x:c r="D91" s="5">
        <x:f>IF($A91="","",COUNTIFS(TeamLead_Reports!$A:$A,Dashboard!$B$2,TeamLead_Reports!$D:$D,$B91))</x:f>
      </x:c>
      <x:c r="E91" s="5">
        <x:f>IF($A91="","",IFERROR(LOOKUP(2,1/((TeamLead_Reports!$A:$A=Dashboard!$B$2)*(TeamLead_Reports!$D:$D=$B91)),TeamLead_Reports!$V:$V),""))</x:f>
      </x:c>
      <x:c r="F91" s="5">
        <x:f>IF($A91="","",SUMIFS(TeamLead_Reports!$G:$G,TeamLead_Reports!$A:$A,Dashboard!$B$2,TeamLead_Reports!$D:$D,$B91))</x:f>
      </x:c>
      <x:c r="G91" s="5">
        <x:f>IF($A91="","",SUMIFS(TeamLead_Reports!$H:$H,TeamLead_Reports!$A:$A,Dashboard!$B$2,TeamLead_Reports!$D:$D,$B91))</x:f>
      </x:c>
      <x:c r="H91" s="5">
        <x:f>IF($A91="","",SUMIFS(TeamLead_Reports!$I:$I,TeamLead_Reports!$A:$A,Dashboard!$B$2,TeamLead_Reports!$D:$D,$B91))</x:f>
      </x:c>
      <x:c r="I91" s="5">
        <x:f>IF($A91="","",SUMIFS(TeamLead_Reports!$J:$J,TeamLead_Reports!$A:$A,Dashboard!$B$2,TeamLead_Reports!$D:$D,$B91))</x:f>
      </x:c>
      <x:c r="J91" s="5">
        <x:f>IF($A91="","",SUMIFS(TeamLead_Reports!$K:$K,TeamLead_Reports!$A:$A,Dashboard!$B$2,TeamLead_Reports!$D:$D,$B91))</x:f>
      </x:c>
      <x:c r="K91" s="5">
        <x:f>IF($A91="","",SUMIFS(TeamLead_Reports!$L:$L,TeamLead_Reports!$A:$A,Dashboard!$B$2,TeamLead_Reports!$D:$D,$B91))</x:f>
      </x:c>
      <x:c r="L91" s="5">
        <x:f>IF($A91="","",SUMIFS(TeamLead_Reports!$M:$M,TeamLead_Reports!$A:$A,Dashboard!$B$2,TeamLead_Reports!$D:$D,$B91))</x:f>
      </x:c>
      <x:c r="M91" s="5">
        <x:f>IF($A91="","",SUMIFS(TeamLead_Reports!$N:$N,TeamLead_Reports!$A:$A,Dashboard!$B$2,TeamLead_Reports!$D:$D,$B91))</x:f>
      </x:c>
      <x:c r="N91" s="5">
        <x:f>IF($A91="","",SUMIFS(TeamLead_Reports!$O:$O,TeamLead_Reports!$A:$A,Dashboard!$B$2,TeamLead_Reports!$D:$D,$B91))</x:f>
      </x:c>
      <x:c r="O91" s="5">
        <x:f>IF($A91="","",SUMIFS(TeamLead_Reports!$P:$P,TeamLead_Reports!$A:$A,Dashboard!$B$2,TeamLead_Reports!$D:$D,$B91))</x:f>
      </x:c>
      <x:c r="P91" s="5">
        <x:f>IF($A91="","",SUMIFS(TeamLead_Reports!$Q:$Q,TeamLead_Reports!$A:$A,Dashboard!$B$2,TeamLead_Reports!$D:$D,$B91))</x:f>
      </x:c>
      <x:c r="Q91" s="5">
        <x:f>IF($A91="","",SUMIFS(TeamLead_Reports!$R:$R,TeamLead_Reports!$A:$A,Dashboard!$B$2,TeamLead_Reports!$D:$D,$B91))</x:f>
      </x:c>
      <x:c r="R91" s="5">
        <x:f>IF($A91="","",SUMIFS(TeamLead_Reports!$S:$S,TeamLead_Reports!$A:$A,Dashboard!$B$2,TeamLead_Reports!$D:$D,$B91))</x:f>
      </x:c>
    </x:row>
    <x:row r="92">
      <x:c r="A92" s="5">
        <x:f>Settings!E92</x:f>
        <x:v>0</x:v>
      </x:c>
      <x:c r="B92" s="5">
        <x:f>Settings!F92</x:f>
        <x:v>0</x:v>
      </x:c>
      <x:c r="C92" s="5">
        <x:f>Settings!G92</x:f>
        <x:v>0</x:v>
      </x:c>
      <x:c r="D92" s="5">
        <x:f>IF($A92="","",COUNTIFS(TeamLead_Reports!$A:$A,Dashboard!$B$2,TeamLead_Reports!$D:$D,$B92))</x:f>
      </x:c>
      <x:c r="E92" s="5">
        <x:f>IF($A92="","",IFERROR(LOOKUP(2,1/((TeamLead_Reports!$A:$A=Dashboard!$B$2)*(TeamLead_Reports!$D:$D=$B92)),TeamLead_Reports!$V:$V),""))</x:f>
      </x:c>
      <x:c r="F92" s="5">
        <x:f>IF($A92="","",SUMIFS(TeamLead_Reports!$G:$G,TeamLead_Reports!$A:$A,Dashboard!$B$2,TeamLead_Reports!$D:$D,$B92))</x:f>
      </x:c>
      <x:c r="G92" s="5">
        <x:f>IF($A92="","",SUMIFS(TeamLead_Reports!$H:$H,TeamLead_Reports!$A:$A,Dashboard!$B$2,TeamLead_Reports!$D:$D,$B92))</x:f>
      </x:c>
      <x:c r="H92" s="5">
        <x:f>IF($A92="","",SUMIFS(TeamLead_Reports!$I:$I,TeamLead_Reports!$A:$A,Dashboard!$B$2,TeamLead_Reports!$D:$D,$B92))</x:f>
      </x:c>
      <x:c r="I92" s="5">
        <x:f>IF($A92="","",SUMIFS(TeamLead_Reports!$J:$J,TeamLead_Reports!$A:$A,Dashboard!$B$2,TeamLead_Reports!$D:$D,$B92))</x:f>
      </x:c>
      <x:c r="J92" s="5">
        <x:f>IF($A92="","",SUMIFS(TeamLead_Reports!$K:$K,TeamLead_Reports!$A:$A,Dashboard!$B$2,TeamLead_Reports!$D:$D,$B92))</x:f>
      </x:c>
      <x:c r="K92" s="5">
        <x:f>IF($A92="","",SUMIFS(TeamLead_Reports!$L:$L,TeamLead_Reports!$A:$A,Dashboard!$B$2,TeamLead_Reports!$D:$D,$B92))</x:f>
      </x:c>
      <x:c r="L92" s="5">
        <x:f>IF($A92="","",SUMIFS(TeamLead_Reports!$M:$M,TeamLead_Reports!$A:$A,Dashboard!$B$2,TeamLead_Reports!$D:$D,$B92))</x:f>
      </x:c>
      <x:c r="M92" s="5">
        <x:f>IF($A92="","",SUMIFS(TeamLead_Reports!$N:$N,TeamLead_Reports!$A:$A,Dashboard!$B$2,TeamLead_Reports!$D:$D,$B92))</x:f>
      </x:c>
      <x:c r="N92" s="5">
        <x:f>IF($A92="","",SUMIFS(TeamLead_Reports!$O:$O,TeamLead_Reports!$A:$A,Dashboard!$B$2,TeamLead_Reports!$D:$D,$B92))</x:f>
      </x:c>
      <x:c r="O92" s="5">
        <x:f>IF($A92="","",SUMIFS(TeamLead_Reports!$P:$P,TeamLead_Reports!$A:$A,Dashboard!$B$2,TeamLead_Reports!$D:$D,$B92))</x:f>
      </x:c>
      <x:c r="P92" s="5">
        <x:f>IF($A92="","",SUMIFS(TeamLead_Reports!$Q:$Q,TeamLead_Reports!$A:$A,Dashboard!$B$2,TeamLead_Reports!$D:$D,$B92))</x:f>
      </x:c>
      <x:c r="Q92" s="5">
        <x:f>IF($A92="","",SUMIFS(TeamLead_Reports!$R:$R,TeamLead_Reports!$A:$A,Dashboard!$B$2,TeamLead_Reports!$D:$D,$B92))</x:f>
      </x:c>
      <x:c r="R92" s="5">
        <x:f>IF($A92="","",SUMIFS(TeamLead_Reports!$S:$S,TeamLead_Reports!$A:$A,Dashboard!$B$2,TeamLead_Reports!$D:$D,$B92))</x:f>
      </x:c>
    </x:row>
    <x:row r="93">
      <x:c r="A93" s="5">
        <x:f>Settings!E93</x:f>
        <x:v>0</x:v>
      </x:c>
      <x:c r="B93" s="5">
        <x:f>Settings!F93</x:f>
        <x:v>0</x:v>
      </x:c>
      <x:c r="C93" s="5">
        <x:f>Settings!G93</x:f>
        <x:v>0</x:v>
      </x:c>
      <x:c r="D93" s="5">
        <x:f>IF($A93="","",COUNTIFS(TeamLead_Reports!$A:$A,Dashboard!$B$2,TeamLead_Reports!$D:$D,$B93))</x:f>
      </x:c>
      <x:c r="E93" s="5">
        <x:f>IF($A93="","",IFERROR(LOOKUP(2,1/((TeamLead_Reports!$A:$A=Dashboard!$B$2)*(TeamLead_Reports!$D:$D=$B93)),TeamLead_Reports!$V:$V),""))</x:f>
      </x:c>
      <x:c r="F93" s="5">
        <x:f>IF($A93="","",SUMIFS(TeamLead_Reports!$G:$G,TeamLead_Reports!$A:$A,Dashboard!$B$2,TeamLead_Reports!$D:$D,$B93))</x:f>
      </x:c>
      <x:c r="G93" s="5">
        <x:f>IF($A93="","",SUMIFS(TeamLead_Reports!$H:$H,TeamLead_Reports!$A:$A,Dashboard!$B$2,TeamLead_Reports!$D:$D,$B93))</x:f>
      </x:c>
      <x:c r="H93" s="5">
        <x:f>IF($A93="","",SUMIFS(TeamLead_Reports!$I:$I,TeamLead_Reports!$A:$A,Dashboard!$B$2,TeamLead_Reports!$D:$D,$B93))</x:f>
      </x:c>
      <x:c r="I93" s="5">
        <x:f>IF($A93="","",SUMIFS(TeamLead_Reports!$J:$J,TeamLead_Reports!$A:$A,Dashboard!$B$2,TeamLead_Reports!$D:$D,$B93))</x:f>
      </x:c>
      <x:c r="J93" s="5">
        <x:f>IF($A93="","",SUMIFS(TeamLead_Reports!$K:$K,TeamLead_Reports!$A:$A,Dashboard!$B$2,TeamLead_Reports!$D:$D,$B93))</x:f>
      </x:c>
      <x:c r="K93" s="5">
        <x:f>IF($A93="","",SUMIFS(TeamLead_Reports!$L:$L,TeamLead_Reports!$A:$A,Dashboard!$B$2,TeamLead_Reports!$D:$D,$B93))</x:f>
      </x:c>
      <x:c r="L93" s="5">
        <x:f>IF($A93="","",SUMIFS(TeamLead_Reports!$M:$M,TeamLead_Reports!$A:$A,Dashboard!$B$2,TeamLead_Reports!$D:$D,$B93))</x:f>
      </x:c>
      <x:c r="M93" s="5">
        <x:f>IF($A93="","",SUMIFS(TeamLead_Reports!$N:$N,TeamLead_Reports!$A:$A,Dashboard!$B$2,TeamLead_Reports!$D:$D,$B93))</x:f>
      </x:c>
      <x:c r="N93" s="5">
        <x:f>IF($A93="","",SUMIFS(TeamLead_Reports!$O:$O,TeamLead_Reports!$A:$A,Dashboard!$B$2,TeamLead_Reports!$D:$D,$B93))</x:f>
      </x:c>
      <x:c r="O93" s="5">
        <x:f>IF($A93="","",SUMIFS(TeamLead_Reports!$P:$P,TeamLead_Reports!$A:$A,Dashboard!$B$2,TeamLead_Reports!$D:$D,$B93))</x:f>
      </x:c>
      <x:c r="P93" s="5">
        <x:f>IF($A93="","",SUMIFS(TeamLead_Reports!$Q:$Q,TeamLead_Reports!$A:$A,Dashboard!$B$2,TeamLead_Reports!$D:$D,$B93))</x:f>
      </x:c>
      <x:c r="Q93" s="5">
        <x:f>IF($A93="","",SUMIFS(TeamLead_Reports!$R:$R,TeamLead_Reports!$A:$A,Dashboard!$B$2,TeamLead_Reports!$D:$D,$B93))</x:f>
      </x:c>
      <x:c r="R93" s="5">
        <x:f>IF($A93="","",SUMIFS(TeamLead_Reports!$S:$S,TeamLead_Reports!$A:$A,Dashboard!$B$2,TeamLead_Reports!$D:$D,$B93))</x:f>
      </x:c>
    </x:row>
    <x:row r="94">
      <x:c r="A94" s="5">
        <x:f>Settings!E94</x:f>
        <x:v>0</x:v>
      </x:c>
      <x:c r="B94" s="5">
        <x:f>Settings!F94</x:f>
        <x:v>0</x:v>
      </x:c>
      <x:c r="C94" s="5">
        <x:f>Settings!G94</x:f>
        <x:v>0</x:v>
      </x:c>
      <x:c r="D94" s="5">
        <x:f>IF($A94="","",COUNTIFS(TeamLead_Reports!$A:$A,Dashboard!$B$2,TeamLead_Reports!$D:$D,$B94))</x:f>
      </x:c>
      <x:c r="E94" s="5">
        <x:f>IF($A94="","",IFERROR(LOOKUP(2,1/((TeamLead_Reports!$A:$A=Dashboard!$B$2)*(TeamLead_Reports!$D:$D=$B94)),TeamLead_Reports!$V:$V),""))</x:f>
      </x:c>
      <x:c r="F94" s="5">
        <x:f>IF($A94="","",SUMIFS(TeamLead_Reports!$G:$G,TeamLead_Reports!$A:$A,Dashboard!$B$2,TeamLead_Reports!$D:$D,$B94))</x:f>
      </x:c>
      <x:c r="G94" s="5">
        <x:f>IF($A94="","",SUMIFS(TeamLead_Reports!$H:$H,TeamLead_Reports!$A:$A,Dashboard!$B$2,TeamLead_Reports!$D:$D,$B94))</x:f>
      </x:c>
      <x:c r="H94" s="5">
        <x:f>IF($A94="","",SUMIFS(TeamLead_Reports!$I:$I,TeamLead_Reports!$A:$A,Dashboard!$B$2,TeamLead_Reports!$D:$D,$B94))</x:f>
      </x:c>
      <x:c r="I94" s="5">
        <x:f>IF($A94="","",SUMIFS(TeamLead_Reports!$J:$J,TeamLead_Reports!$A:$A,Dashboard!$B$2,TeamLead_Reports!$D:$D,$B94))</x:f>
      </x:c>
      <x:c r="J94" s="5">
        <x:f>IF($A94="","",SUMIFS(TeamLead_Reports!$K:$K,TeamLead_Reports!$A:$A,Dashboard!$B$2,TeamLead_Reports!$D:$D,$B94))</x:f>
      </x:c>
      <x:c r="K94" s="5">
        <x:f>IF($A94="","",SUMIFS(TeamLead_Reports!$L:$L,TeamLead_Reports!$A:$A,Dashboard!$B$2,TeamLead_Reports!$D:$D,$B94))</x:f>
      </x:c>
      <x:c r="L94" s="5">
        <x:f>IF($A94="","",SUMIFS(TeamLead_Reports!$M:$M,TeamLead_Reports!$A:$A,Dashboard!$B$2,TeamLead_Reports!$D:$D,$B94))</x:f>
      </x:c>
      <x:c r="M94" s="5">
        <x:f>IF($A94="","",SUMIFS(TeamLead_Reports!$N:$N,TeamLead_Reports!$A:$A,Dashboard!$B$2,TeamLead_Reports!$D:$D,$B94))</x:f>
      </x:c>
      <x:c r="N94" s="5">
        <x:f>IF($A94="","",SUMIFS(TeamLead_Reports!$O:$O,TeamLead_Reports!$A:$A,Dashboard!$B$2,TeamLead_Reports!$D:$D,$B94))</x:f>
      </x:c>
      <x:c r="O94" s="5">
        <x:f>IF($A94="","",SUMIFS(TeamLead_Reports!$P:$P,TeamLead_Reports!$A:$A,Dashboard!$B$2,TeamLead_Reports!$D:$D,$B94))</x:f>
      </x:c>
      <x:c r="P94" s="5">
        <x:f>IF($A94="","",SUMIFS(TeamLead_Reports!$Q:$Q,TeamLead_Reports!$A:$A,Dashboard!$B$2,TeamLead_Reports!$D:$D,$B94))</x:f>
      </x:c>
      <x:c r="Q94" s="5">
        <x:f>IF($A94="","",SUMIFS(TeamLead_Reports!$R:$R,TeamLead_Reports!$A:$A,Dashboard!$B$2,TeamLead_Reports!$D:$D,$B94))</x:f>
      </x:c>
      <x:c r="R94" s="5">
        <x:f>IF($A94="","",SUMIFS(TeamLead_Reports!$S:$S,TeamLead_Reports!$A:$A,Dashboard!$B$2,TeamLead_Reports!$D:$D,$B94))</x:f>
      </x:c>
    </x:row>
    <x:row r="95">
      <x:c r="A95" s="5">
        <x:f>Settings!E95</x:f>
        <x:v>0</x:v>
      </x:c>
      <x:c r="B95" s="5">
        <x:f>Settings!F95</x:f>
        <x:v>0</x:v>
      </x:c>
      <x:c r="C95" s="5">
        <x:f>Settings!G95</x:f>
        <x:v>0</x:v>
      </x:c>
      <x:c r="D95" s="5">
        <x:f>IF($A95="","",COUNTIFS(TeamLead_Reports!$A:$A,Dashboard!$B$2,TeamLead_Reports!$D:$D,$B95))</x:f>
      </x:c>
      <x:c r="E95" s="5">
        <x:f>IF($A95="","",IFERROR(LOOKUP(2,1/((TeamLead_Reports!$A:$A=Dashboard!$B$2)*(TeamLead_Reports!$D:$D=$B95)),TeamLead_Reports!$V:$V),""))</x:f>
      </x:c>
      <x:c r="F95" s="5">
        <x:f>IF($A95="","",SUMIFS(TeamLead_Reports!$G:$G,TeamLead_Reports!$A:$A,Dashboard!$B$2,TeamLead_Reports!$D:$D,$B95))</x:f>
      </x:c>
      <x:c r="G95" s="5">
        <x:f>IF($A95="","",SUMIFS(TeamLead_Reports!$H:$H,TeamLead_Reports!$A:$A,Dashboard!$B$2,TeamLead_Reports!$D:$D,$B95))</x:f>
      </x:c>
      <x:c r="H95" s="5">
        <x:f>IF($A95="","",SUMIFS(TeamLead_Reports!$I:$I,TeamLead_Reports!$A:$A,Dashboard!$B$2,TeamLead_Reports!$D:$D,$B95))</x:f>
      </x:c>
      <x:c r="I95" s="5">
        <x:f>IF($A95="","",SUMIFS(TeamLead_Reports!$J:$J,TeamLead_Reports!$A:$A,Dashboard!$B$2,TeamLead_Reports!$D:$D,$B95))</x:f>
      </x:c>
      <x:c r="J95" s="5">
        <x:f>IF($A95="","",SUMIFS(TeamLead_Reports!$K:$K,TeamLead_Reports!$A:$A,Dashboard!$B$2,TeamLead_Reports!$D:$D,$B95))</x:f>
      </x:c>
      <x:c r="K95" s="5">
        <x:f>IF($A95="","",SUMIFS(TeamLead_Reports!$L:$L,TeamLead_Reports!$A:$A,Dashboard!$B$2,TeamLead_Reports!$D:$D,$B95))</x:f>
      </x:c>
      <x:c r="L95" s="5">
        <x:f>IF($A95="","",SUMIFS(TeamLead_Reports!$M:$M,TeamLead_Reports!$A:$A,Dashboard!$B$2,TeamLead_Reports!$D:$D,$B95))</x:f>
      </x:c>
      <x:c r="M95" s="5">
        <x:f>IF($A95="","",SUMIFS(TeamLead_Reports!$N:$N,TeamLead_Reports!$A:$A,Dashboard!$B$2,TeamLead_Reports!$D:$D,$B95))</x:f>
      </x:c>
      <x:c r="N95" s="5">
        <x:f>IF($A95="","",SUMIFS(TeamLead_Reports!$O:$O,TeamLead_Reports!$A:$A,Dashboard!$B$2,TeamLead_Reports!$D:$D,$B95))</x:f>
      </x:c>
      <x:c r="O95" s="5">
        <x:f>IF($A95="","",SUMIFS(TeamLead_Reports!$P:$P,TeamLead_Reports!$A:$A,Dashboard!$B$2,TeamLead_Reports!$D:$D,$B95))</x:f>
      </x:c>
      <x:c r="P95" s="5">
        <x:f>IF($A95="","",SUMIFS(TeamLead_Reports!$Q:$Q,TeamLead_Reports!$A:$A,Dashboard!$B$2,TeamLead_Reports!$D:$D,$B95))</x:f>
      </x:c>
      <x:c r="Q95" s="5">
        <x:f>IF($A95="","",SUMIFS(TeamLead_Reports!$R:$R,TeamLead_Reports!$A:$A,Dashboard!$B$2,TeamLead_Reports!$D:$D,$B95))</x:f>
      </x:c>
      <x:c r="R95" s="5">
        <x:f>IF($A95="","",SUMIFS(TeamLead_Reports!$S:$S,TeamLead_Reports!$A:$A,Dashboard!$B$2,TeamLead_Reports!$D:$D,$B95))</x:f>
      </x:c>
    </x:row>
    <x:row r="96">
      <x:c r="A96" s="5">
        <x:f>Settings!E96</x:f>
        <x:v>0</x:v>
      </x:c>
      <x:c r="B96" s="5">
        <x:f>Settings!F96</x:f>
        <x:v>0</x:v>
      </x:c>
      <x:c r="C96" s="5">
        <x:f>Settings!G96</x:f>
        <x:v>0</x:v>
      </x:c>
      <x:c r="D96" s="5">
        <x:f>IF($A96="","",COUNTIFS(TeamLead_Reports!$A:$A,Dashboard!$B$2,TeamLead_Reports!$D:$D,$B96))</x:f>
      </x:c>
      <x:c r="E96" s="5">
        <x:f>IF($A96="","",IFERROR(LOOKUP(2,1/((TeamLead_Reports!$A:$A=Dashboard!$B$2)*(TeamLead_Reports!$D:$D=$B96)),TeamLead_Reports!$V:$V),""))</x:f>
      </x:c>
      <x:c r="F96" s="5">
        <x:f>IF($A96="","",SUMIFS(TeamLead_Reports!$G:$G,TeamLead_Reports!$A:$A,Dashboard!$B$2,TeamLead_Reports!$D:$D,$B96))</x:f>
      </x:c>
      <x:c r="G96" s="5">
        <x:f>IF($A96="","",SUMIFS(TeamLead_Reports!$H:$H,TeamLead_Reports!$A:$A,Dashboard!$B$2,TeamLead_Reports!$D:$D,$B96))</x:f>
      </x:c>
      <x:c r="H96" s="5">
        <x:f>IF($A96="","",SUMIFS(TeamLead_Reports!$I:$I,TeamLead_Reports!$A:$A,Dashboard!$B$2,TeamLead_Reports!$D:$D,$B96))</x:f>
      </x:c>
      <x:c r="I96" s="5">
        <x:f>IF($A96="","",SUMIFS(TeamLead_Reports!$J:$J,TeamLead_Reports!$A:$A,Dashboard!$B$2,TeamLead_Reports!$D:$D,$B96))</x:f>
      </x:c>
      <x:c r="J96" s="5">
        <x:f>IF($A96="","",SUMIFS(TeamLead_Reports!$K:$K,TeamLead_Reports!$A:$A,Dashboard!$B$2,TeamLead_Reports!$D:$D,$B96))</x:f>
      </x:c>
      <x:c r="K96" s="5">
        <x:f>IF($A96="","",SUMIFS(TeamLead_Reports!$L:$L,TeamLead_Reports!$A:$A,Dashboard!$B$2,TeamLead_Reports!$D:$D,$B96))</x:f>
      </x:c>
      <x:c r="L96" s="5">
        <x:f>IF($A96="","",SUMIFS(TeamLead_Reports!$M:$M,TeamLead_Reports!$A:$A,Dashboard!$B$2,TeamLead_Reports!$D:$D,$B96))</x:f>
      </x:c>
      <x:c r="M96" s="5">
        <x:f>IF($A96="","",SUMIFS(TeamLead_Reports!$N:$N,TeamLead_Reports!$A:$A,Dashboard!$B$2,TeamLead_Reports!$D:$D,$B96))</x:f>
      </x:c>
      <x:c r="N96" s="5">
        <x:f>IF($A96="","",SUMIFS(TeamLead_Reports!$O:$O,TeamLead_Reports!$A:$A,Dashboard!$B$2,TeamLead_Reports!$D:$D,$B96))</x:f>
      </x:c>
      <x:c r="O96" s="5">
        <x:f>IF($A96="","",SUMIFS(TeamLead_Reports!$P:$P,TeamLead_Reports!$A:$A,Dashboard!$B$2,TeamLead_Reports!$D:$D,$B96))</x:f>
      </x:c>
      <x:c r="P96" s="5">
        <x:f>IF($A96="","",SUMIFS(TeamLead_Reports!$Q:$Q,TeamLead_Reports!$A:$A,Dashboard!$B$2,TeamLead_Reports!$D:$D,$B96))</x:f>
      </x:c>
      <x:c r="Q96" s="5">
        <x:f>IF($A96="","",SUMIFS(TeamLead_Reports!$R:$R,TeamLead_Reports!$A:$A,Dashboard!$B$2,TeamLead_Reports!$D:$D,$B96))</x:f>
      </x:c>
      <x:c r="R96" s="5">
        <x:f>IF($A96="","",SUMIFS(TeamLead_Reports!$S:$S,TeamLead_Reports!$A:$A,Dashboard!$B$2,TeamLead_Reports!$D:$D,$B96))</x:f>
      </x:c>
    </x:row>
    <x:row r="97">
      <x:c r="A97" s="5">
        <x:f>Settings!E97</x:f>
        <x:v>0</x:v>
      </x:c>
      <x:c r="B97" s="5">
        <x:f>Settings!F97</x:f>
        <x:v>0</x:v>
      </x:c>
      <x:c r="C97" s="5">
        <x:f>Settings!G97</x:f>
        <x:v>0</x:v>
      </x:c>
      <x:c r="D97" s="5">
        <x:f>IF($A97="","",COUNTIFS(TeamLead_Reports!$A:$A,Dashboard!$B$2,TeamLead_Reports!$D:$D,$B97))</x:f>
      </x:c>
      <x:c r="E97" s="5">
        <x:f>IF($A97="","",IFERROR(LOOKUP(2,1/((TeamLead_Reports!$A:$A=Dashboard!$B$2)*(TeamLead_Reports!$D:$D=$B97)),TeamLead_Reports!$V:$V),""))</x:f>
      </x:c>
      <x:c r="F97" s="5">
        <x:f>IF($A97="","",SUMIFS(TeamLead_Reports!$G:$G,TeamLead_Reports!$A:$A,Dashboard!$B$2,TeamLead_Reports!$D:$D,$B97))</x:f>
      </x:c>
      <x:c r="G97" s="5">
        <x:f>IF($A97="","",SUMIFS(TeamLead_Reports!$H:$H,TeamLead_Reports!$A:$A,Dashboard!$B$2,TeamLead_Reports!$D:$D,$B97))</x:f>
      </x:c>
      <x:c r="H97" s="5">
        <x:f>IF($A97="","",SUMIFS(TeamLead_Reports!$I:$I,TeamLead_Reports!$A:$A,Dashboard!$B$2,TeamLead_Reports!$D:$D,$B97))</x:f>
      </x:c>
      <x:c r="I97" s="5">
        <x:f>IF($A97="","",SUMIFS(TeamLead_Reports!$J:$J,TeamLead_Reports!$A:$A,Dashboard!$B$2,TeamLead_Reports!$D:$D,$B97))</x:f>
      </x:c>
      <x:c r="J97" s="5">
        <x:f>IF($A97="","",SUMIFS(TeamLead_Reports!$K:$K,TeamLead_Reports!$A:$A,Dashboard!$B$2,TeamLead_Reports!$D:$D,$B97))</x:f>
      </x:c>
      <x:c r="K97" s="5">
        <x:f>IF($A97="","",SUMIFS(TeamLead_Reports!$L:$L,TeamLead_Reports!$A:$A,Dashboard!$B$2,TeamLead_Reports!$D:$D,$B97))</x:f>
      </x:c>
      <x:c r="L97" s="5">
        <x:f>IF($A97="","",SUMIFS(TeamLead_Reports!$M:$M,TeamLead_Reports!$A:$A,Dashboard!$B$2,TeamLead_Reports!$D:$D,$B97))</x:f>
      </x:c>
      <x:c r="M97" s="5">
        <x:f>IF($A97="","",SUMIFS(TeamLead_Reports!$N:$N,TeamLead_Reports!$A:$A,Dashboard!$B$2,TeamLead_Reports!$D:$D,$B97))</x:f>
      </x:c>
      <x:c r="N97" s="5">
        <x:f>IF($A97="","",SUMIFS(TeamLead_Reports!$O:$O,TeamLead_Reports!$A:$A,Dashboard!$B$2,TeamLead_Reports!$D:$D,$B97))</x:f>
      </x:c>
      <x:c r="O97" s="5">
        <x:f>IF($A97="","",SUMIFS(TeamLead_Reports!$P:$P,TeamLead_Reports!$A:$A,Dashboard!$B$2,TeamLead_Reports!$D:$D,$B97))</x:f>
      </x:c>
      <x:c r="P97" s="5">
        <x:f>IF($A97="","",SUMIFS(TeamLead_Reports!$Q:$Q,TeamLead_Reports!$A:$A,Dashboard!$B$2,TeamLead_Reports!$D:$D,$B97))</x:f>
      </x:c>
      <x:c r="Q97" s="5">
        <x:f>IF($A97="","",SUMIFS(TeamLead_Reports!$R:$R,TeamLead_Reports!$A:$A,Dashboard!$B$2,TeamLead_Reports!$D:$D,$B97))</x:f>
      </x:c>
      <x:c r="R97" s="5">
        <x:f>IF($A97="","",SUMIFS(TeamLead_Reports!$S:$S,TeamLead_Reports!$A:$A,Dashboard!$B$2,TeamLead_Reports!$D:$D,$B97))</x:f>
      </x:c>
    </x:row>
    <x:row r="98">
      <x:c r="A98" s="5">
        <x:f>Settings!E98</x:f>
        <x:v>0</x:v>
      </x:c>
      <x:c r="B98" s="5">
        <x:f>Settings!F98</x:f>
        <x:v>0</x:v>
      </x:c>
      <x:c r="C98" s="5">
        <x:f>Settings!G98</x:f>
        <x:v>0</x:v>
      </x:c>
      <x:c r="D98" s="5">
        <x:f>IF($A98="","",COUNTIFS(TeamLead_Reports!$A:$A,Dashboard!$B$2,TeamLead_Reports!$D:$D,$B98))</x:f>
      </x:c>
      <x:c r="E98" s="5">
        <x:f>IF($A98="","",IFERROR(LOOKUP(2,1/((TeamLead_Reports!$A:$A=Dashboard!$B$2)*(TeamLead_Reports!$D:$D=$B98)),TeamLead_Reports!$V:$V),""))</x:f>
      </x:c>
      <x:c r="F98" s="5">
        <x:f>IF($A98="","",SUMIFS(TeamLead_Reports!$G:$G,TeamLead_Reports!$A:$A,Dashboard!$B$2,TeamLead_Reports!$D:$D,$B98))</x:f>
      </x:c>
      <x:c r="G98" s="5">
        <x:f>IF($A98="","",SUMIFS(TeamLead_Reports!$H:$H,TeamLead_Reports!$A:$A,Dashboard!$B$2,TeamLead_Reports!$D:$D,$B98))</x:f>
      </x:c>
      <x:c r="H98" s="5">
        <x:f>IF($A98="","",SUMIFS(TeamLead_Reports!$I:$I,TeamLead_Reports!$A:$A,Dashboard!$B$2,TeamLead_Reports!$D:$D,$B98))</x:f>
      </x:c>
      <x:c r="I98" s="5">
        <x:f>IF($A98="","",SUMIFS(TeamLead_Reports!$J:$J,TeamLead_Reports!$A:$A,Dashboard!$B$2,TeamLead_Reports!$D:$D,$B98))</x:f>
      </x:c>
      <x:c r="J98" s="5">
        <x:f>IF($A98="","",SUMIFS(TeamLead_Reports!$K:$K,TeamLead_Reports!$A:$A,Dashboard!$B$2,TeamLead_Reports!$D:$D,$B98))</x:f>
      </x:c>
      <x:c r="K98" s="5">
        <x:f>IF($A98="","",SUMIFS(TeamLead_Reports!$L:$L,TeamLead_Reports!$A:$A,Dashboard!$B$2,TeamLead_Reports!$D:$D,$B98))</x:f>
      </x:c>
      <x:c r="L98" s="5">
        <x:f>IF($A98="","",SUMIFS(TeamLead_Reports!$M:$M,TeamLead_Reports!$A:$A,Dashboard!$B$2,TeamLead_Reports!$D:$D,$B98))</x:f>
      </x:c>
      <x:c r="M98" s="5">
        <x:f>IF($A98="","",SUMIFS(TeamLead_Reports!$N:$N,TeamLead_Reports!$A:$A,Dashboard!$B$2,TeamLead_Reports!$D:$D,$B98))</x:f>
      </x:c>
      <x:c r="N98" s="5">
        <x:f>IF($A98="","",SUMIFS(TeamLead_Reports!$O:$O,TeamLead_Reports!$A:$A,Dashboard!$B$2,TeamLead_Reports!$D:$D,$B98))</x:f>
      </x:c>
      <x:c r="O98" s="5">
        <x:f>IF($A98="","",SUMIFS(TeamLead_Reports!$P:$P,TeamLead_Reports!$A:$A,Dashboard!$B$2,TeamLead_Reports!$D:$D,$B98))</x:f>
      </x:c>
      <x:c r="P98" s="5">
        <x:f>IF($A98="","",SUMIFS(TeamLead_Reports!$Q:$Q,TeamLead_Reports!$A:$A,Dashboard!$B$2,TeamLead_Reports!$D:$D,$B98))</x:f>
      </x:c>
      <x:c r="Q98" s="5">
        <x:f>IF($A98="","",SUMIFS(TeamLead_Reports!$R:$R,TeamLead_Reports!$A:$A,Dashboard!$B$2,TeamLead_Reports!$D:$D,$B98))</x:f>
      </x:c>
      <x:c r="R98" s="5">
        <x:f>IF($A98="","",SUMIFS(TeamLead_Reports!$S:$S,TeamLead_Reports!$A:$A,Dashboard!$B$2,TeamLead_Reports!$D:$D,$B98))</x:f>
      </x:c>
    </x:row>
    <x:row r="99">
      <x:c r="A99" s="5">
        <x:f>Settings!E99</x:f>
        <x:v>0</x:v>
      </x:c>
      <x:c r="B99" s="5">
        <x:f>Settings!F99</x:f>
        <x:v>0</x:v>
      </x:c>
      <x:c r="C99" s="5">
        <x:f>Settings!G99</x:f>
        <x:v>0</x:v>
      </x:c>
      <x:c r="D99" s="5">
        <x:f>IF($A99="","",COUNTIFS(TeamLead_Reports!$A:$A,Dashboard!$B$2,TeamLead_Reports!$D:$D,$B99))</x:f>
      </x:c>
      <x:c r="E99" s="5">
        <x:f>IF($A99="","",IFERROR(LOOKUP(2,1/((TeamLead_Reports!$A:$A=Dashboard!$B$2)*(TeamLead_Reports!$D:$D=$B99)),TeamLead_Reports!$V:$V),""))</x:f>
      </x:c>
      <x:c r="F99" s="5">
        <x:f>IF($A99="","",SUMIFS(TeamLead_Reports!$G:$G,TeamLead_Reports!$A:$A,Dashboard!$B$2,TeamLead_Reports!$D:$D,$B99))</x:f>
      </x:c>
      <x:c r="G99" s="5">
        <x:f>IF($A99="","",SUMIFS(TeamLead_Reports!$H:$H,TeamLead_Reports!$A:$A,Dashboard!$B$2,TeamLead_Reports!$D:$D,$B99))</x:f>
      </x:c>
      <x:c r="H99" s="5">
        <x:f>IF($A99="","",SUMIFS(TeamLead_Reports!$I:$I,TeamLead_Reports!$A:$A,Dashboard!$B$2,TeamLead_Reports!$D:$D,$B99))</x:f>
      </x:c>
      <x:c r="I99" s="5">
        <x:f>IF($A99="","",SUMIFS(TeamLead_Reports!$J:$J,TeamLead_Reports!$A:$A,Dashboard!$B$2,TeamLead_Reports!$D:$D,$B99))</x:f>
      </x:c>
      <x:c r="J99" s="5">
        <x:f>IF($A99="","",SUMIFS(TeamLead_Reports!$K:$K,TeamLead_Reports!$A:$A,Dashboard!$B$2,TeamLead_Reports!$D:$D,$B99))</x:f>
      </x:c>
      <x:c r="K99" s="5">
        <x:f>IF($A99="","",SUMIFS(TeamLead_Reports!$L:$L,TeamLead_Reports!$A:$A,Dashboard!$B$2,TeamLead_Reports!$D:$D,$B99))</x:f>
      </x:c>
      <x:c r="L99" s="5">
        <x:f>IF($A99="","",SUMIFS(TeamLead_Reports!$M:$M,TeamLead_Reports!$A:$A,Dashboard!$B$2,TeamLead_Reports!$D:$D,$B99))</x:f>
      </x:c>
      <x:c r="M99" s="5">
        <x:f>IF($A99="","",SUMIFS(TeamLead_Reports!$N:$N,TeamLead_Reports!$A:$A,Dashboard!$B$2,TeamLead_Reports!$D:$D,$B99))</x:f>
      </x:c>
      <x:c r="N99" s="5">
        <x:f>IF($A99="","",SUMIFS(TeamLead_Reports!$O:$O,TeamLead_Reports!$A:$A,Dashboard!$B$2,TeamLead_Reports!$D:$D,$B99))</x:f>
      </x:c>
      <x:c r="O99" s="5">
        <x:f>IF($A99="","",SUMIFS(TeamLead_Reports!$P:$P,TeamLead_Reports!$A:$A,Dashboard!$B$2,TeamLead_Reports!$D:$D,$B99))</x:f>
      </x:c>
      <x:c r="P99" s="5">
        <x:f>IF($A99="","",SUMIFS(TeamLead_Reports!$Q:$Q,TeamLead_Reports!$A:$A,Dashboard!$B$2,TeamLead_Reports!$D:$D,$B99))</x:f>
      </x:c>
      <x:c r="Q99" s="5">
        <x:f>IF($A99="","",SUMIFS(TeamLead_Reports!$R:$R,TeamLead_Reports!$A:$A,Dashboard!$B$2,TeamLead_Reports!$D:$D,$B99))</x:f>
      </x:c>
      <x:c r="R99" s="5">
        <x:f>IF($A99="","",SUMIFS(TeamLead_Reports!$S:$S,TeamLead_Reports!$A:$A,Dashboard!$B$2,TeamLead_Reports!$D:$D,$B99))</x:f>
      </x:c>
    </x:row>
    <x:row r="100">
      <x:c r="A100" s="5">
        <x:f>Settings!E100</x:f>
        <x:v>0</x:v>
      </x:c>
      <x:c r="B100" s="5">
        <x:f>Settings!F100</x:f>
        <x:v>0</x:v>
      </x:c>
      <x:c r="C100" s="5">
        <x:f>Settings!G100</x:f>
        <x:v>0</x:v>
      </x:c>
      <x:c r="D100" s="5">
        <x:f>IF($A100="","",COUNTIFS(TeamLead_Reports!$A:$A,Dashboard!$B$2,TeamLead_Reports!$D:$D,$B100))</x:f>
      </x:c>
      <x:c r="E100" s="5">
        <x:f>IF($A100="","",IFERROR(LOOKUP(2,1/((TeamLead_Reports!$A:$A=Dashboard!$B$2)*(TeamLead_Reports!$D:$D=$B100)),TeamLead_Reports!$V:$V),""))</x:f>
      </x:c>
      <x:c r="F100" s="5">
        <x:f>IF($A100="","",SUMIFS(TeamLead_Reports!$G:$G,TeamLead_Reports!$A:$A,Dashboard!$B$2,TeamLead_Reports!$D:$D,$B100))</x:f>
      </x:c>
      <x:c r="G100" s="5">
        <x:f>IF($A100="","",SUMIFS(TeamLead_Reports!$H:$H,TeamLead_Reports!$A:$A,Dashboard!$B$2,TeamLead_Reports!$D:$D,$B100))</x:f>
      </x:c>
      <x:c r="H100" s="5">
        <x:f>IF($A100="","",SUMIFS(TeamLead_Reports!$I:$I,TeamLead_Reports!$A:$A,Dashboard!$B$2,TeamLead_Reports!$D:$D,$B100))</x:f>
      </x:c>
      <x:c r="I100" s="5">
        <x:f>IF($A100="","",SUMIFS(TeamLead_Reports!$J:$J,TeamLead_Reports!$A:$A,Dashboard!$B$2,TeamLead_Reports!$D:$D,$B100))</x:f>
      </x:c>
      <x:c r="J100" s="5">
        <x:f>IF($A100="","",SUMIFS(TeamLead_Reports!$K:$K,TeamLead_Reports!$A:$A,Dashboard!$B$2,TeamLead_Reports!$D:$D,$B100))</x:f>
      </x:c>
      <x:c r="K100" s="5">
        <x:f>IF($A100="","",SUMIFS(TeamLead_Reports!$L:$L,TeamLead_Reports!$A:$A,Dashboard!$B$2,TeamLead_Reports!$D:$D,$B100))</x:f>
      </x:c>
      <x:c r="L100" s="5">
        <x:f>IF($A100="","",SUMIFS(TeamLead_Reports!$M:$M,TeamLead_Reports!$A:$A,Dashboard!$B$2,TeamLead_Reports!$D:$D,$B100))</x:f>
      </x:c>
      <x:c r="M100" s="5">
        <x:f>IF($A100="","",SUMIFS(TeamLead_Reports!$N:$N,TeamLead_Reports!$A:$A,Dashboard!$B$2,TeamLead_Reports!$D:$D,$B100))</x:f>
      </x:c>
      <x:c r="N100" s="5">
        <x:f>IF($A100="","",SUMIFS(TeamLead_Reports!$O:$O,TeamLead_Reports!$A:$A,Dashboard!$B$2,TeamLead_Reports!$D:$D,$B100))</x:f>
      </x:c>
      <x:c r="O100" s="5">
        <x:f>IF($A100="","",SUMIFS(TeamLead_Reports!$P:$P,TeamLead_Reports!$A:$A,Dashboard!$B$2,TeamLead_Reports!$D:$D,$B100))</x:f>
      </x:c>
      <x:c r="P100" s="5">
        <x:f>IF($A100="","",SUMIFS(TeamLead_Reports!$Q:$Q,TeamLead_Reports!$A:$A,Dashboard!$B$2,TeamLead_Reports!$D:$D,$B100))</x:f>
      </x:c>
      <x:c r="Q100" s="5">
        <x:f>IF($A100="","",SUMIFS(TeamLead_Reports!$R:$R,TeamLead_Reports!$A:$A,Dashboard!$B$2,TeamLead_Reports!$D:$D,$B100))</x:f>
      </x:c>
      <x:c r="R100" s="5">
        <x:f>IF($A100="","",SUMIFS(TeamLead_Reports!$S:$S,TeamLead_Reports!$A:$A,Dashboard!$B$2,TeamLead_Reports!$D:$D,$B100))</x:f>
      </x:c>
    </x:row>
    <x:row r="101">
      <x:c r="A101" s="5">
        <x:f>Settings!E101</x:f>
        <x:v>0</x:v>
      </x:c>
      <x:c r="B101" s="5">
        <x:f>Settings!F101</x:f>
        <x:v>0</x:v>
      </x:c>
      <x:c r="C101" s="5">
        <x:f>Settings!G101</x:f>
        <x:v>0</x:v>
      </x:c>
      <x:c r="D101" s="5">
        <x:f>IF($A101="","",COUNTIFS(TeamLead_Reports!$A:$A,Dashboard!$B$2,TeamLead_Reports!$D:$D,$B101))</x:f>
      </x:c>
      <x:c r="E101" s="5">
        <x:f>IF($A101="","",IFERROR(LOOKUP(2,1/((TeamLead_Reports!$A:$A=Dashboard!$B$2)*(TeamLead_Reports!$D:$D=$B101)),TeamLead_Reports!$V:$V),""))</x:f>
      </x:c>
      <x:c r="F101" s="5">
        <x:f>IF($A101="","",SUMIFS(TeamLead_Reports!$G:$G,TeamLead_Reports!$A:$A,Dashboard!$B$2,TeamLead_Reports!$D:$D,$B101))</x:f>
      </x:c>
      <x:c r="G101" s="5">
        <x:f>IF($A101="","",SUMIFS(TeamLead_Reports!$H:$H,TeamLead_Reports!$A:$A,Dashboard!$B$2,TeamLead_Reports!$D:$D,$B101))</x:f>
      </x:c>
      <x:c r="H101" s="5">
        <x:f>IF($A101="","",SUMIFS(TeamLead_Reports!$I:$I,TeamLead_Reports!$A:$A,Dashboard!$B$2,TeamLead_Reports!$D:$D,$B101))</x:f>
      </x:c>
      <x:c r="I101" s="5">
        <x:f>IF($A101="","",SUMIFS(TeamLead_Reports!$J:$J,TeamLead_Reports!$A:$A,Dashboard!$B$2,TeamLead_Reports!$D:$D,$B101))</x:f>
      </x:c>
      <x:c r="J101" s="5">
        <x:f>IF($A101="","",SUMIFS(TeamLead_Reports!$K:$K,TeamLead_Reports!$A:$A,Dashboard!$B$2,TeamLead_Reports!$D:$D,$B101))</x:f>
      </x:c>
      <x:c r="K101" s="5">
        <x:f>IF($A101="","",SUMIFS(TeamLead_Reports!$L:$L,TeamLead_Reports!$A:$A,Dashboard!$B$2,TeamLead_Reports!$D:$D,$B101))</x:f>
      </x:c>
      <x:c r="L101" s="5">
        <x:f>IF($A101="","",SUMIFS(TeamLead_Reports!$M:$M,TeamLead_Reports!$A:$A,Dashboard!$B$2,TeamLead_Reports!$D:$D,$B101))</x:f>
      </x:c>
      <x:c r="M101" s="5">
        <x:f>IF($A101="","",SUMIFS(TeamLead_Reports!$N:$N,TeamLead_Reports!$A:$A,Dashboard!$B$2,TeamLead_Reports!$D:$D,$B101))</x:f>
      </x:c>
      <x:c r="N101" s="5">
        <x:f>IF($A101="","",SUMIFS(TeamLead_Reports!$O:$O,TeamLead_Reports!$A:$A,Dashboard!$B$2,TeamLead_Reports!$D:$D,$B101))</x:f>
      </x:c>
      <x:c r="O101" s="5">
        <x:f>IF($A101="","",SUMIFS(TeamLead_Reports!$P:$P,TeamLead_Reports!$A:$A,Dashboard!$B$2,TeamLead_Reports!$D:$D,$B101))</x:f>
      </x:c>
      <x:c r="P101" s="5">
        <x:f>IF($A101="","",SUMIFS(TeamLead_Reports!$Q:$Q,TeamLead_Reports!$A:$A,Dashboard!$B$2,TeamLead_Reports!$D:$D,$B101))</x:f>
      </x:c>
      <x:c r="Q101" s="5">
        <x:f>IF($A101="","",SUMIFS(TeamLead_Reports!$R:$R,TeamLead_Reports!$A:$A,Dashboard!$B$2,TeamLead_Reports!$D:$D,$B101))</x:f>
      </x:c>
      <x:c r="R101" s="5">
        <x:f>IF($A101="","",SUMIFS(TeamLead_Reports!$S:$S,TeamLead_Reports!$A:$A,Dashboard!$B$2,TeamLead_Reports!$D:$D,$B101))</x:f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34" customWidth="1"/>
    <x:col min="2" max="2" width="20" customWidth="1"/>
  </x:cols>
  <x:sheetData>
    <x:row r="1">
      <x:c r="A1" s="6" t="inlineStr">
        <x:is>
          <x:t xml:space="preserve">Показатель</x:t>
        </x:is>
      </x:c>
      <x:c r="B1" s="6" t="inlineStr">
        <x:is>
          <x:t xml:space="preserve">Значение</x:t>
        </x:is>
      </x:c>
    </x:row>
    <x:row r="2">
      <x:c r="A2" s="7" t="inlineStr">
        <x:is>
          <x:t xml:space="preserve">Дата</x:t>
        </x:is>
      </x:c>
      <x:c r="B2" s="9">
        <x:f>TODAY()</x:f>
        <x:v>46122</x:v>
      </x:c>
    </x:row>
    <x:row r="3">
      <x:c r="A3" s="7" t="inlineStr">
        <x:is>
          <x:t xml:space="preserve">Отчётов менеджеров сегодня</x:t>
        </x:is>
      </x:c>
      <x:c r="B3" s="5">
        <x:f>COUNTIF(Manager_Reports!A:A,B2)</x:f>
        <x:v>0</x:v>
      </x:c>
    </x:row>
    <x:row r="4">
      <x:c r="A4" s="7" t="inlineStr">
        <x:is>
          <x:t xml:space="preserve">Менеджерских на проверке</x:t>
        </x:is>
      </x:c>
      <x:c r="B4" s="8">
        <x:f>COUNTIFS(Manager_Reports!A:A,B2,Manager_Reports!T:T,"На проверке")</x:f>
        <x:v>0</x:v>
      </x:c>
    </x:row>
    <x:row r="5">
      <x:c r="A5" s="7" t="inlineStr">
        <x:is>
          <x:t xml:space="preserve">Менеджерских подтверждено</x:t>
        </x:is>
      </x:c>
      <x:c r="B5" s="8">
        <x:f>COUNTIFS(Manager_Reports!A:A,B2,Manager_Reports!T:T,"Подтвержден")</x:f>
        <x:v>0</x:v>
      </x:c>
    </x:row>
    <x:row r="6">
      <x:c r="A6" s="7" t="inlineStr">
        <x:is>
          <x:t xml:space="preserve">Менеджерских отклонено</x:t>
        </x:is>
      </x:c>
      <x:c r="B6" s="8">
        <x:f>COUNTIFS(Manager_Reports!A:A,B2,Manager_Reports!T:T,"Отклонён")</x:f>
        <x:v>0</x:v>
      </x:c>
    </x:row>
    <x:row r="7">
      <x:c r="A7" s="7" t="inlineStr">
        <x:is>
          <x:t xml:space="preserve">Отчётов тимлидов сегодня</x:t>
        </x:is>
      </x:c>
      <x:c r="B7" s="5">
        <x:f>COUNTIF(TeamLead_Reports!A:A,B2)</x:f>
        <x:v>0</x:v>
      </x:c>
    </x:row>
    <x:row r="8">
      <x:c r="A8" s="7" t="inlineStr">
        <x:is>
          <x:t xml:space="preserve">Тимлидских на проверке</x:t>
        </x:is>
      </x:c>
      <x:c r="B8" s="8">
        <x:f>COUNTIFS(TeamLead_Reports!A:A,B2,TeamLead_Reports!V:V,"На проверке")</x:f>
        <x:v>0</x:v>
      </x:c>
    </x:row>
    <x:row r="9">
      <x:c r="A9" s="7" t="inlineStr">
        <x:is>
          <x:t xml:space="preserve">Тимлидских подтверждено</x:t>
        </x:is>
      </x:c>
      <x:c r="B9" s="8">
        <x:f>COUNTIFS(TeamLead_Reports!A:A,B2,TeamLead_Reports!V:V,"Подтвержден")</x:f>
        <x:v>0</x:v>
      </x:c>
    </x:row>
    <x:row r="10">
      <x:c r="A10" s="7" t="inlineStr">
        <x:is>
          <x:t xml:space="preserve">Тимлидских отклонено</x:t>
        </x:is>
      </x:c>
      <x:c r="B10" s="8">
        <x:f>COUNTIFS(TeamLead_Reports!A:A,B2,TeamLead_Reports!V:V,"Отклонён")</x:f>
        <x:v>0</x:v>
      </x:c>
    </x:row>
    <x:row r="11">
      <x:c r="A11" s="7" t="inlineStr">
        <x:is>
          <x:t xml:space="preserve">Отчётов хедов сегодня</x:t>
        </x:is>
      </x:c>
      <x:c r="B11" s="5">
        <x:f>COUNTIF(Head_Reports!A:A,B2)</x:f>
        <x:v>0</x:v>
      </x:c>
    </x:row>
    <x:row r="12">
      <x:c r="A12" s="7" t="inlineStr">
        <x:is>
          <x:t xml:space="preserve">Номеров менеджеров</x:t>
        </x:is>
      </x:c>
      <x:c r="B12" s="5">
        <x:f>SUMIFS(Manager_Reports!F:F,Manager_Reports!A:A,B2)</x:f>
        <x:v>0</x:v>
      </x:c>
    </x:row>
    <x:row r="13">
      <x:c r="A13" s="7" t="inlineStr">
        <x:is>
          <x:t xml:space="preserve">Плюсовых менеджеров</x:t>
        </x:is>
      </x:c>
      <x:c r="B13" s="5">
        <x:f>SUMIFS(Manager_Reports!H:H,Manager_Reports!A:A,B2)</x:f>
        <x:v>0</x:v>
      </x:c>
    </x:row>
    <x:row r="14">
      <x:c r="A14" s="7" t="inlineStr">
        <x:is>
          <x:t xml:space="preserve">Актив менеджеров</x:t>
        </x:is>
      </x:c>
      <x:c r="B14" s="5">
        <x:f>SUMIFS(Manager_Reports!J:J,Manager_Reports!A:A,B2)</x:f>
        <x:v>0</x:v>
      </x:c>
    </x:row>
    <x:row r="15">
      <x:c r="A15" s="7" t="inlineStr">
        <x:is>
          <x:t xml:space="preserve">Согласий менеджеров</x:t>
        </x:is>
      </x:c>
      <x:c r="B15" s="5">
        <x:f>SUMIFS(Manager_Reports!P:P,Manager_Reports!A:A,B2)</x:f>
        <x:v>0</x:v>
      </x:c>
    </x:row>
  </x:sheetData>
  <x:pageMargins left="0.7" right="0.7" top="0.75" bottom="0.75" header="0.3" footer="0.3"/>
</x:worksheet>
</file>